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rive-download-20260703T192518Z-3-001\observatorio-deforestacion\entregables\"/>
    </mc:Choice>
  </mc:AlternateContent>
  <xr:revisionPtr revIDLastSave="0" documentId="13_ncr:1_{B775CFF3-0240-4463-BBEC-72AB01A1F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da" sheetId="1" r:id="rId1"/>
    <sheet name="Serie municipal" sheetId="2" r:id="rId2"/>
    <sheet name="Dashboard" sheetId="3" r:id="rId3"/>
    <sheet name="Consulta municipio" sheetId="4" r:id="rId4"/>
    <sheet name="Matriz" sheetId="5" r:id="rId5"/>
    <sheet name="Serie regional" sheetId="6" r:id="rId6"/>
    <sheet name="Aux" sheetId="7" r:id="rId7"/>
    <sheet name="Dinámica bosque" sheetId="8" r:id="rId8"/>
    <sheet name="Hallazgos" sheetId="9" r:id="rId9"/>
    <sheet name="Territorios" sheetId="10" r:id="rId10"/>
    <sheet name="Territoriales" sheetId="11" r:id="rId11"/>
    <sheet name="Diccionario" sheetId="12" r:id="rId12"/>
  </sheets>
  <definedNames>
    <definedName name="_xlnm._FilterDatabase" localSheetId="7" hidden="1">'Dinámica bosque'!$A$1:$U$341</definedName>
    <definedName name="_xlnm._FilterDatabase" localSheetId="1" hidden="1">'Serie municipal'!$A$1:$K$1132</definedName>
  </definedNames>
  <calcPr calcId="191029"/>
</workbook>
</file>

<file path=xl/calcChain.xml><?xml version="1.0" encoding="utf-8"?>
<calcChain xmlns="http://schemas.openxmlformats.org/spreadsheetml/2006/main">
  <c r="E10" i="11" l="1"/>
  <c r="B10" i="11"/>
  <c r="E9" i="11"/>
  <c r="B9" i="11"/>
  <c r="D9" i="11" s="1"/>
  <c r="E8" i="11"/>
  <c r="B8" i="11"/>
  <c r="E7" i="11"/>
  <c r="B7" i="11"/>
  <c r="C7" i="11" s="1"/>
  <c r="E6" i="11"/>
  <c r="B6" i="11"/>
  <c r="C22" i="7"/>
  <c r="D22" i="7" s="1"/>
  <c r="K21" i="7"/>
  <c r="C21" i="7"/>
  <c r="D21" i="7" s="1"/>
  <c r="K20" i="7"/>
  <c r="C20" i="7"/>
  <c r="D20" i="7" s="1"/>
  <c r="K19" i="7"/>
  <c r="C19" i="7"/>
  <c r="D19" i="7" s="1"/>
  <c r="K18" i="7"/>
  <c r="D18" i="7"/>
  <c r="C18" i="7"/>
  <c r="K17" i="7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 s="1"/>
  <c r="H11" i="7"/>
  <c r="G11" i="7" s="1"/>
  <c r="C11" i="7"/>
  <c r="D11" i="7" s="1"/>
  <c r="C10" i="7"/>
  <c r="D10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H19" i="6"/>
  <c r="E19" i="6"/>
  <c r="D19" i="6"/>
  <c r="H18" i="6"/>
  <c r="E18" i="6"/>
  <c r="F18" i="6" s="1"/>
  <c r="D27" i="4" s="1"/>
  <c r="D18" i="6"/>
  <c r="H17" i="6"/>
  <c r="E17" i="6"/>
  <c r="D17" i="6"/>
  <c r="H16" i="6"/>
  <c r="E16" i="6"/>
  <c r="F16" i="6" s="1"/>
  <c r="D25" i="4" s="1"/>
  <c r="D16" i="6"/>
  <c r="H15" i="6"/>
  <c r="E15" i="6"/>
  <c r="D15" i="6"/>
  <c r="H14" i="6"/>
  <c r="E14" i="6"/>
  <c r="F14" i="6" s="1"/>
  <c r="D23" i="4" s="1"/>
  <c r="D14" i="6"/>
  <c r="H13" i="6"/>
  <c r="E13" i="6"/>
  <c r="F13" i="6" s="1"/>
  <c r="D22" i="4" s="1"/>
  <c r="D13" i="6"/>
  <c r="H12" i="6"/>
  <c r="E12" i="6"/>
  <c r="F12" i="6" s="1"/>
  <c r="D21" i="4" s="1"/>
  <c r="D12" i="6"/>
  <c r="H11" i="6"/>
  <c r="E11" i="6"/>
  <c r="D11" i="6"/>
  <c r="H10" i="6"/>
  <c r="E10" i="6"/>
  <c r="F10" i="6" s="1"/>
  <c r="D19" i="4" s="1"/>
  <c r="D10" i="6"/>
  <c r="H9" i="6"/>
  <c r="E9" i="6"/>
  <c r="D9" i="6"/>
  <c r="H8" i="6"/>
  <c r="E8" i="6"/>
  <c r="F8" i="6" s="1"/>
  <c r="D17" i="4" s="1"/>
  <c r="D8" i="6"/>
  <c r="H7" i="6"/>
  <c r="E7" i="6"/>
  <c r="D7" i="6"/>
  <c r="H6" i="6"/>
  <c r="E6" i="6"/>
  <c r="F6" i="6" s="1"/>
  <c r="D15" i="4" s="1"/>
  <c r="D6" i="6"/>
  <c r="H5" i="6"/>
  <c r="E5" i="6"/>
  <c r="D5" i="6"/>
  <c r="H4" i="6"/>
  <c r="E4" i="6"/>
  <c r="F4" i="6" s="1"/>
  <c r="D13" i="4" s="1"/>
  <c r="D4" i="6"/>
  <c r="H3" i="6"/>
  <c r="E3" i="6"/>
  <c r="D3" i="6"/>
  <c r="H2" i="6"/>
  <c r="E2" i="6"/>
  <c r="D2" i="6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S4" i="5"/>
  <c r="R4" i="5"/>
  <c r="R23" i="5" s="1"/>
  <c r="Q4" i="5"/>
  <c r="P4" i="5"/>
  <c r="P23" i="5" s="1"/>
  <c r="O4" i="5"/>
  <c r="N4" i="5"/>
  <c r="N23" i="5" s="1"/>
  <c r="M4" i="5"/>
  <c r="M23" i="5" s="1"/>
  <c r="L4" i="5"/>
  <c r="L23" i="5" s="1"/>
  <c r="K4" i="5"/>
  <c r="J4" i="5"/>
  <c r="J23" i="5" s="1"/>
  <c r="I4" i="5"/>
  <c r="H4" i="5"/>
  <c r="G4" i="5"/>
  <c r="F4" i="5"/>
  <c r="F23" i="5" s="1"/>
  <c r="E4" i="5"/>
  <c r="D4" i="5"/>
  <c r="C4" i="5"/>
  <c r="B4" i="5"/>
  <c r="B23" i="5" s="1"/>
  <c r="E28" i="4"/>
  <c r="A28" i="4"/>
  <c r="B28" i="4" s="1"/>
  <c r="C28" i="4" s="1"/>
  <c r="E27" i="4"/>
  <c r="B27" i="4"/>
  <c r="C27" i="4" s="1"/>
  <c r="A27" i="4"/>
  <c r="E26" i="4"/>
  <c r="A26" i="4"/>
  <c r="B26" i="4" s="1"/>
  <c r="C26" i="4" s="1"/>
  <c r="E25" i="4"/>
  <c r="A25" i="4"/>
  <c r="B25" i="4" s="1"/>
  <c r="C25" i="4" s="1"/>
  <c r="E24" i="4"/>
  <c r="A24" i="4"/>
  <c r="B24" i="4" s="1"/>
  <c r="C24" i="4" s="1"/>
  <c r="E23" i="4"/>
  <c r="B23" i="4"/>
  <c r="C23" i="4" s="1"/>
  <c r="A23" i="4"/>
  <c r="E22" i="4"/>
  <c r="A22" i="4"/>
  <c r="B22" i="4" s="1"/>
  <c r="C22" i="4" s="1"/>
  <c r="E21" i="4"/>
  <c r="A21" i="4"/>
  <c r="B21" i="4" s="1"/>
  <c r="C21" i="4" s="1"/>
  <c r="E20" i="4"/>
  <c r="A20" i="4"/>
  <c r="B20" i="4" s="1"/>
  <c r="C20" i="4" s="1"/>
  <c r="E19" i="4"/>
  <c r="C19" i="4"/>
  <c r="B19" i="4"/>
  <c r="A19" i="4"/>
  <c r="E18" i="4"/>
  <c r="A18" i="4"/>
  <c r="B18" i="4" s="1"/>
  <c r="E17" i="4"/>
  <c r="A17" i="4"/>
  <c r="B17" i="4" s="1"/>
  <c r="C17" i="4" s="1"/>
  <c r="E16" i="4"/>
  <c r="A16" i="4"/>
  <c r="B16" i="4" s="1"/>
  <c r="C16" i="4" s="1"/>
  <c r="E15" i="4"/>
  <c r="A15" i="4"/>
  <c r="B15" i="4" s="1"/>
  <c r="C15" i="4" s="1"/>
  <c r="E14" i="4"/>
  <c r="A14" i="4"/>
  <c r="B14" i="4" s="1"/>
  <c r="C14" i="4" s="1"/>
  <c r="E13" i="4"/>
  <c r="A13" i="4"/>
  <c r="B13" i="4" s="1"/>
  <c r="C13" i="4" s="1"/>
  <c r="E12" i="4"/>
  <c r="B12" i="4"/>
  <c r="C12" i="4" s="1"/>
  <c r="A12" i="4"/>
  <c r="E11" i="4"/>
  <c r="A11" i="4"/>
  <c r="B11" i="4" s="1"/>
  <c r="K7" i="4"/>
  <c r="T9" i="5" l="1"/>
  <c r="T17" i="5"/>
  <c r="F9" i="6"/>
  <c r="D18" i="4" s="1"/>
  <c r="H4" i="7"/>
  <c r="G4" i="7" s="1"/>
  <c r="K5" i="3" s="1"/>
  <c r="H12" i="7"/>
  <c r="G12" i="7" s="1"/>
  <c r="T10" i="5"/>
  <c r="T11" i="5"/>
  <c r="T18" i="5"/>
  <c r="T19" i="5"/>
  <c r="F15" i="6"/>
  <c r="D24" i="4" s="1"/>
  <c r="H5" i="7"/>
  <c r="G5" i="7" s="1"/>
  <c r="H13" i="7"/>
  <c r="G13" i="7" s="1"/>
  <c r="T12" i="5"/>
  <c r="T20" i="5"/>
  <c r="F5" i="6"/>
  <c r="D14" i="4" s="1"/>
  <c r="C23" i="5"/>
  <c r="S23" i="5"/>
  <c r="H6" i="7"/>
  <c r="G6" i="7" s="1"/>
  <c r="B11" i="11"/>
  <c r="C11" i="11" s="1"/>
  <c r="D23" i="5"/>
  <c r="T5" i="5"/>
  <c r="F11" i="6"/>
  <c r="D20" i="4" s="1"/>
  <c r="T21" i="5"/>
  <c r="H7" i="7"/>
  <c r="G7" i="7" s="1"/>
  <c r="O23" i="5"/>
  <c r="T13" i="5"/>
  <c r="F17" i="6"/>
  <c r="D26" i="4" s="1"/>
  <c r="G23" i="5"/>
  <c r="T6" i="5"/>
  <c r="H8" i="7"/>
  <c r="G8" i="7" s="1"/>
  <c r="D8" i="11"/>
  <c r="H5" i="3"/>
  <c r="H23" i="5"/>
  <c r="T7" i="5"/>
  <c r="T14" i="5"/>
  <c r="T15" i="5"/>
  <c r="T22" i="5"/>
  <c r="F7" i="6"/>
  <c r="D16" i="4" s="1"/>
  <c r="Q23" i="5"/>
  <c r="E23" i="5"/>
  <c r="C18" i="4"/>
  <c r="I23" i="5"/>
  <c r="E20" i="6"/>
  <c r="E5" i="3" s="1"/>
  <c r="H9" i="7"/>
  <c r="G9" i="7" s="1"/>
  <c r="T8" i="5"/>
  <c r="T16" i="5"/>
  <c r="H10" i="7"/>
  <c r="G10" i="7" s="1"/>
  <c r="D10" i="11"/>
  <c r="K23" i="5"/>
  <c r="F3" i="6"/>
  <c r="D12" i="4" s="1"/>
  <c r="F19" i="6"/>
  <c r="D28" i="4" s="1"/>
  <c r="H7" i="4"/>
  <c r="D7" i="11"/>
  <c r="C8" i="11"/>
  <c r="F2" i="6"/>
  <c r="D11" i="4" s="1"/>
  <c r="C9" i="11"/>
  <c r="B7" i="4"/>
  <c r="E7" i="4" s="1"/>
  <c r="T4" i="5"/>
  <c r="C11" i="4"/>
  <c r="C6" i="11"/>
  <c r="C10" i="11"/>
  <c r="D6" i="11"/>
  <c r="T23" i="5" l="1"/>
  <c r="B5" i="3"/>
</calcChain>
</file>

<file path=xl/sharedStrings.xml><?xml version="1.0" encoding="utf-8"?>
<sst xmlns="http://schemas.openxmlformats.org/spreadsheetml/2006/main" count="10428" uniqueCount="338">
  <si>
    <t>OBSERVATORIO DE DEFORESTACIÓN</t>
  </si>
  <si>
    <t>Jurisdicción CORPOURABA · 19 municipios · 2000-2024</t>
  </si>
  <si>
    <t>Fecha de generación: 05/07/2026</t>
  </si>
  <si>
    <t>Elaborado por: Alberto Vivas y Carlos Zuluaga</t>
  </si>
  <si>
    <t>Datos: paquete institucional de monitoreo de bosque CORPOURABA (IDEAM/SMByC)</t>
  </si>
  <si>
    <t>Contenido del libro</t>
  </si>
  <si>
    <t>Dashboard</t>
  </si>
  <si>
    <t>KPIs, serie regional anualizada, top-10 municipios y distribución por territorial</t>
  </si>
  <si>
    <t>Territoriales</t>
  </si>
  <si>
    <t>Deforestación por cada una de las 5 territoriales de CORPOURABA (tabla + gráfico)</t>
  </si>
  <si>
    <t>Consulta municipio</t>
  </si>
  <si>
    <t>Ficha dinámica por municipio (lista desplegable en la celda amarilla)</t>
  </si>
  <si>
    <t>Matriz</t>
  </si>
  <si>
    <t>Municipio × periodo con escala de color y totales</t>
  </si>
  <si>
    <t>Serie regional</t>
  </si>
  <si>
    <t>Serie agregada por periodo (fórmulas sobre los datos)</t>
  </si>
  <si>
    <t>Serie municipal</t>
  </si>
  <si>
    <t>Datos fuente completos (1131 filas) con autofiltro</t>
  </si>
  <si>
    <t>Aux</t>
  </si>
  <si>
    <t>Cálculos auxiliares (totales por municipio, ranking, territoriales)</t>
  </si>
  <si>
    <t>Dinámica bosque</t>
  </si>
  <si>
    <t>Resultados de la investigación temática</t>
  </si>
  <si>
    <t>Hallazgos</t>
  </si>
  <si>
    <t>Territorios</t>
  </si>
  <si>
    <t>Diccionario</t>
  </si>
  <si>
    <t>Definiciones, vacíos, calibraciones y control de calidad</t>
  </si>
  <si>
    <t>Todos los indicadores del libro son fórmulas de Excel (SUMIFS/INDEX/MATCH/LARGE) sobre la hoja «Serie municipal»: puede auditarse y extenderse sin herramientas adicionales. Los periodos con fondo crema son estimados/calibrados.</t>
  </si>
  <si>
    <t>Código DANE</t>
  </si>
  <si>
    <t>Municipio</t>
  </si>
  <si>
    <t>Territorial</t>
  </si>
  <si>
    <t>Periodo</t>
  </si>
  <si>
    <t>Año inicio</t>
  </si>
  <si>
    <t>Año fin</t>
  </si>
  <si>
    <t>Clase</t>
  </si>
  <si>
    <t>Hectáreas</t>
  </si>
  <si>
    <t>Ha/año</t>
  </si>
  <si>
    <t>Fuente</t>
  </si>
  <si>
    <t>Estimado</t>
  </si>
  <si>
    <t>05004</t>
  </si>
  <si>
    <t>Abriaquí</t>
  </si>
  <si>
    <t>Nutibara</t>
  </si>
  <si>
    <t>2000-2002</t>
  </si>
  <si>
    <t>Bosque Estable</t>
  </si>
  <si>
    <t>excel</t>
  </si>
  <si>
    <t>No</t>
  </si>
  <si>
    <t>Deforestación</t>
  </si>
  <si>
    <t>No Bosque Estable</t>
  </si>
  <si>
    <t>05045</t>
  </si>
  <si>
    <t>Apartadó</t>
  </si>
  <si>
    <t>Centro</t>
  </si>
  <si>
    <t>Sin Información</t>
  </si>
  <si>
    <t>05051</t>
  </si>
  <si>
    <t>Arboletes</t>
  </si>
  <si>
    <t>Caribe</t>
  </si>
  <si>
    <t>05147</t>
  </si>
  <si>
    <t>Carepa</t>
  </si>
  <si>
    <t>05138</t>
  </si>
  <si>
    <t>Cañasgordas</t>
  </si>
  <si>
    <t>05172</t>
  </si>
  <si>
    <t>Chigorodó</t>
  </si>
  <si>
    <t>05234</t>
  </si>
  <si>
    <t>Dabeiba</t>
  </si>
  <si>
    <t>05284</t>
  </si>
  <si>
    <t>Frontino</t>
  </si>
  <si>
    <t>Regeneración</t>
  </si>
  <si>
    <t>05306</t>
  </si>
  <si>
    <t>Giraldo</t>
  </si>
  <si>
    <t>05475</t>
  </si>
  <si>
    <t>Murindó</t>
  </si>
  <si>
    <t>Atrato</t>
  </si>
  <si>
    <t>05480</t>
  </si>
  <si>
    <t>Mutatá</t>
  </si>
  <si>
    <t>05490</t>
  </si>
  <si>
    <t>Necoclí</t>
  </si>
  <si>
    <t>05543</t>
  </si>
  <si>
    <t>Peque</t>
  </si>
  <si>
    <t>05659</t>
  </si>
  <si>
    <t>San Juan de Urabá</t>
  </si>
  <si>
    <t>05665</t>
  </si>
  <si>
    <t>San Pedro de Urabá</t>
  </si>
  <si>
    <t>05837</t>
  </si>
  <si>
    <t>Turbo</t>
  </si>
  <si>
    <t>05842</t>
  </si>
  <si>
    <t>Uramita</t>
  </si>
  <si>
    <t>05847</t>
  </si>
  <si>
    <t>Urrao</t>
  </si>
  <si>
    <t>05873</t>
  </si>
  <si>
    <t>Vigía del Fuerte</t>
  </si>
  <si>
    <t>2002-2004</t>
  </si>
  <si>
    <t>shapefile</t>
  </si>
  <si>
    <t>2004-2006</t>
  </si>
  <si>
    <t>2006-2008</t>
  </si>
  <si>
    <t>2008-2010</t>
  </si>
  <si>
    <t>2010-2012</t>
  </si>
  <si>
    <t>estimado-calibrado-rat</t>
  </si>
  <si>
    <t>Sí</t>
  </si>
  <si>
    <t>2012-2013</t>
  </si>
  <si>
    <t>raster</t>
  </si>
  <si>
    <t>2013-2014</t>
  </si>
  <si>
    <t>2014-2015</t>
  </si>
  <si>
    <t>2015-2016</t>
  </si>
  <si>
    <t>dbf-municipal</t>
  </si>
  <si>
    <t>2016-2017</t>
  </si>
  <si>
    <t>2017-2018</t>
  </si>
  <si>
    <t>2018-2019</t>
  </si>
  <si>
    <t>estimado</t>
  </si>
  <si>
    <t>2019-2020</t>
  </si>
  <si>
    <t>2020-2021</t>
  </si>
  <si>
    <t>2021-2022</t>
  </si>
  <si>
    <t>2022-2023</t>
  </si>
  <si>
    <t>2023-2024</t>
  </si>
  <si>
    <t>DASHBOARD — DEFORESTACIÓN CORPOURABA 2000-2024</t>
  </si>
  <si>
    <t>19 municipios · 18 periodos de monitoreo · fórmulas auditables sobre la hoja «Serie municipal»</t>
  </si>
  <si>
    <t>Total deforestado (ha)</t>
  </si>
  <si>
    <t>Promedio anual (ha/año)</t>
  </si>
  <si>
    <t>Periodo más crítico</t>
  </si>
  <si>
    <t>Municipio más afectado</t>
  </si>
  <si>
    <t>Nota: los periodos marcados con * son estimados/calibrados (2010-2012, 2018-2019, 2023-2024). 2015-2016 es dato real recuperado de la tabla municipal oficial.</t>
  </si>
  <si>
    <t>CONSULTA POR MUNICIPIO</t>
  </si>
  <si>
    <t>Seleccione municipio:</t>
  </si>
  <si>
    <t>(desplegable — celda amarilla)</t>
  </si>
  <si>
    <t>Total 2000-2024 (ha)</t>
  </si>
  <si>
    <t>% del total regional</t>
  </si>
  <si>
    <t>Deforestación (ha)</t>
  </si>
  <si>
    <t>Ha/año regional</t>
  </si>
  <si>
    <t>Matriz de deforestación (ha) — municipio × periodo</t>
  </si>
  <si>
    <t>TOTAL</t>
  </si>
  <si>
    <t>Periodos 2010-2012, 2018-2019 y 2023-2024: valores estimados/calibrados (2015-2016 es dato real). Escala de color blanco→rojo por intensidad.</t>
  </si>
  <si>
    <t>Años</t>
  </si>
  <si>
    <t>Etiqueta</t>
  </si>
  <si>
    <t>* Periodo estimado/calibrado (sin fuente municipal directa en el paquete original). Ver Diccionario.</t>
  </si>
  <si>
    <t>Hoja auxiliar de cálculos (totales por municipio y ranking)</t>
  </si>
  <si>
    <t>Ha/año prom.</t>
  </si>
  <si>
    <t>Pos.</t>
  </si>
  <si>
    <t>Ranking municipio</t>
  </si>
  <si>
    <t>Total (ha)</t>
  </si>
  <si>
    <t>codigo_dane</t>
  </si>
  <si>
    <t>municipio</t>
  </si>
  <si>
    <t>subregion</t>
  </si>
  <si>
    <t>periodo</t>
  </si>
  <si>
    <t>ano_inicio</t>
  </si>
  <si>
    <t>ano_fin</t>
  </si>
  <si>
    <t>n_anos</t>
  </si>
  <si>
    <t>bosque_estable_ha</t>
  </si>
  <si>
    <t>no_bosque_ha</t>
  </si>
  <si>
    <t>regeneracion_ha</t>
  </si>
  <si>
    <t>sin_informacion_ha</t>
  </si>
  <si>
    <t>deforestacion_ha</t>
  </si>
  <si>
    <t>area_con_informacion_ha</t>
  </si>
  <si>
    <t>pct_cobertura_bosque</t>
  </si>
  <si>
    <t>bosque_estable_previo_ha</t>
  </si>
  <si>
    <t>periodo_bosque_previo</t>
  </si>
  <si>
    <t>tasa_perdida_relativa</t>
  </si>
  <si>
    <t>cambio_neto_ha</t>
  </si>
  <si>
    <t>fuente</t>
  </si>
  <si>
    <t>calidad_fuente</t>
  </si>
  <si>
    <t>excel_tabla</t>
  </si>
  <si>
    <t>shapefile_geometria</t>
  </si>
  <si>
    <t>solo_defo_estimada</t>
  </si>
  <si>
    <t>raster_zonal</t>
  </si>
  <si>
    <t>cuencas-calibrado</t>
  </si>
  <si>
    <t>Tema</t>
  </si>
  <si>
    <t>Hallazgo</t>
  </si>
  <si>
    <t>Cifra</t>
  </si>
  <si>
    <t>Unidad</t>
  </si>
  <si>
    <t>Descripción</t>
  </si>
  <si>
    <t>territorios_etnicos</t>
  </si>
  <si>
    <t>La deforestación se desplaza hacia territorios étnicos</t>
  </si>
  <si>
    <t>% de la deforestación mapeada</t>
  </si>
  <si>
    <t>2019-2023</t>
  </si>
  <si>
    <t>En 2002-2010 los resguardos indígenas y consejos comunitarios concentraban el 16,6% de la deforestación mapeada; en 2019-2023 concentran el 40,6%. La presión se movió hacia los territorios colectivos mientras el resto de la jurisdicción desacelera.</t>
  </si>
  <si>
    <t>dinamica_bosque</t>
  </si>
  <si>
    <t>La jurisdicción perdió 37.809 ha de bosque estable</t>
  </si>
  <si>
    <t>ha (2000-2002 → 2022-2023)</t>
  </si>
  <si>
    <t>2000-2023</t>
  </si>
  <si>
    <t>El bosque estable pasó de 908.114 ha a 870.305 ha entre los periodos 2000-2002 y 2022-2023: una pérdida neta del 4,2% del bosque de la jurisdicción, medida con las mismas fuentes municipales en ambos extremos.</t>
  </si>
  <si>
    <t>fragmentacion</t>
  </si>
  <si>
    <t>79% de la pérdida ocurre en frentes persistentes</t>
  </si>
  <si>
    <t>% de ha en celdas recurrentes</t>
  </si>
  <si>
    <t>2002-2023</t>
  </si>
  <si>
    <t>1.411 celdas de 2×2 km registran deforestación en 3 o más periodos y concentran el 78,9% de las hectáreas deforestadas mapeadas. No son eventos dispersos: son frentes activos y localizables, priorizables para control.</t>
  </si>
  <si>
    <t>Turbo pierde más bosque; Carepa, la mayor fracción</t>
  </si>
  <si>
    <t>ha de bosque perdidas (Turbo)</t>
  </si>
  <si>
    <t>Turbo perdió 18.424 ha de bosque estable (-24,6% de su bosque de 2000). En proporción, Carepa es el caso más crítico: conserva solo el 56,8% de su bosque inicial (-43,2%). Necoclí (-23,8%) y Chigorodó (-12,6%) completan el cuadro del eje bananero.</t>
  </si>
  <si>
    <t>areas_protegidas</t>
  </si>
  <si>
    <t>3.362 ha deforestadas dentro de áreas protegidas</t>
  </si>
  <si>
    <t>ha (12,6% de lo mapeado)</t>
  </si>
  <si>
    <t>En los 10 periodos comparables, el 12,6% de la deforestación mapeada ocurrió dentro de áreas protegidas. El DRMI Serranía de Abibe concentra 1.903 ha (57% del total en AP), con pico de 585 ha en 2015-2016; le siguen la RFPN Carauta (514 ha) y el PNN Las Orquídeas (334 ha).</t>
  </si>
  <si>
    <t>La regeneración solo compensa el 2% de la pérdida</t>
  </si>
  <si>
    <t>% de la deforestación medida</t>
  </si>
  <si>
    <t>En los periodos con medición directa se regeneraron 726 ha frente a 34.542 ha deforestadas: una relación de 1 a 48. Arboletes (18,8%) y Urrao (9,6%) son los únicos municipios donde la regeneración supera el 5% de su pérdida.</t>
  </si>
  <si>
    <t>cuencas</t>
  </si>
  <si>
    <t>La cuenca del río León es la más golpeada</t>
  </si>
  <si>
    <t>ha deforestadas</t>
  </si>
  <si>
    <t>De las 7 cuencas monitoreadas (39% de la jurisdicción), la del río León acumula 6.333 ha deforestadas (2,9% de su superficie) con tendencia a empeorar. Le sigue Turbo-Currulao con 2.604 ha. Son cuencas abastecedoras del eje bananero.</t>
  </si>
  <si>
    <t>El pueblo Embera Katío concentra la pérdida en resguardos</t>
  </si>
  <si>
    <t>ha (77% de la pérdida en resguardos)</t>
  </si>
  <si>
    <t>De las 4.513 ha deforestadas en resguardos con medición de área, 3.478 ha corresponden a territorios del pueblo Embera Katío. Los resguardos de Murindó (583 ha), Chaquenodá (558 ha) y Andabú (421 ha) encabezan el ranking.</t>
  </si>
  <si>
    <t>Frentes activos 11 de 12 periodos en Mutatá y Dabeiba</t>
  </si>
  <si>
    <t>periodos con deforestación (máx. observado)</t>
  </si>
  <si>
    <t>Las celdas más recurrentes de la jurisdicción (piedemonte de Mutatá y Dabeiba, eje de la vía al mar) registran deforestación en 11 de los 12 periodos mapeados, con hasta 136 ha acumuladas por celda de 400 ha. Urrao (249), Turbo (221) y Dabeiba (203) tienen más celdas persistentes.</t>
  </si>
  <si>
    <t>ACIA (Medio Atrato): el territorio colectivo más afectado</t>
  </si>
  <si>
    <t>El Consejo Comunitario Mayor del Medio Atrato acumula 1.255 ha deforestadas, el 55% de la pérdida en consejos comunitarios (2.269 ha). En proporción de su enorme territorio (174.778 ha) es un 0,7%, pero su tendencia acompaña la aceleración del Atrato.</t>
  </si>
  <si>
    <t>Deforestación atomizada: 19.023 parches, mediana 1 ha</t>
  </si>
  <si>
    <t>parches en 12 periodos (incluye &lt; 1 ha)</t>
  </si>
  <si>
    <t>El 96% de los parches mide menos de 5 ha (70% del área); solo el 1,2% supera 10 ha pero aporta el 19% del área. El tamaño medio de parche es pequeño (~1,6 ha; mediana 0,95 ha) e incluye ahora los focos de menos de 1 ha: el patrón es de colonización hormiga, no de grandes praderizaciones — con la excepción de Turbo (parche máximo de 738 ha).</t>
  </si>
  <si>
    <t>Caribe y Centro desaceleran; Atrato, Nutibara y Urrao aceleran</t>
  </si>
  <si>
    <t>subregiones con tasa en aumento</t>
  </si>
  <si>
    <t>2017-2023 vs 2000-2008</t>
  </si>
  <si>
    <t>La tasa relativa de pérdida (deforestación anual sobre bosque remanente) baja en Caribe (1,0%→0,3%) y Centro (0,5%→0,3%), pero sube en Atrato, Nutibara y Urrao. La frontera de deforestación se corre hacia las subregiones más boscosas — coherente con el desplazamiento hacia territorios étnicos.</t>
  </si>
  <si>
    <t>El pico dentro de áreas protegidas fue 2015-2016</t>
  </si>
  <si>
    <t>ha en un solo periodo</t>
  </si>
  <si>
    <t>Durante el pico regional post-acuerdo, las áreas protegidas recibieron 730 ha de deforestación en un año (14,7% del total del periodo). La participación de las AP en la deforestación total muestra leve tendencia a la baja (-0,2 puntos porcentuales/año).</t>
  </si>
  <si>
    <t>11.642 ha deforestadas en las cuencas monitoreadas</t>
  </si>
  <si>
    <t>ha (11 periodos confiables)</t>
  </si>
  <si>
    <t>Las 7 cuencas priorizadas (723.026 ha, 38,9% de la jurisdicción) acumulan 11.642 ha de deforestación en los periodos con área confiable. El análisis detectó y excluyó un defecto de datos: en 2021-2022 la columna de área venía sin recortar contra la cuenca (2,7 M ha reportadas).</t>
  </si>
  <si>
    <t>Deforestación por territorio (polígonos mapeados ≥1 ha, 2000-2024)</t>
  </si>
  <si>
    <t>ÁREAS PROTEGIDAS (deforestación mapeada)</t>
  </si>
  <si>
    <t>Área protegida</t>
  </si>
  <si>
    <t>Categoría</t>
  </si>
  <si>
    <t>Serranía de Abibe</t>
  </si>
  <si>
    <t>Distrito Regional de Manejo Integrado</t>
  </si>
  <si>
    <t>Carauta</t>
  </si>
  <si>
    <t>Reserva Forestal Protectora Nacional</t>
  </si>
  <si>
    <t>Ensenada de Rionegro, los Bajos Aledanos</t>
  </si>
  <si>
    <t>Las Orquideas</t>
  </si>
  <si>
    <t>Parque Nacional Natural</t>
  </si>
  <si>
    <t>De Urrao</t>
  </si>
  <si>
    <t>Río León</t>
  </si>
  <si>
    <t>Distrito de Conservación de Suelos</t>
  </si>
  <si>
    <t>Humedales entre los Rios Leon y Suriqui</t>
  </si>
  <si>
    <t>Parque Regional Natural</t>
  </si>
  <si>
    <t>Paramillo</t>
  </si>
  <si>
    <t>Alto de Insor</t>
  </si>
  <si>
    <t>Los Katío</t>
  </si>
  <si>
    <t>De Las Aves Colibrí del Sol</t>
  </si>
  <si>
    <t>Reserva Natural de la Sociedad Civil</t>
  </si>
  <si>
    <t>Musinga</t>
  </si>
  <si>
    <t>La Rivera</t>
  </si>
  <si>
    <t>Los Horizontales</t>
  </si>
  <si>
    <t>POMCAS — cuencas ordenadas (deforestación mapeada)</t>
  </si>
  <si>
    <t>POMCA</t>
  </si>
  <si>
    <t>Río Turbo-Currulao</t>
  </si>
  <si>
    <t>Río Sucio Alto</t>
  </si>
  <si>
    <t>Río San Juan</t>
  </si>
  <si>
    <t>Directos al Cauca entre Río San Juan e Ituago</t>
  </si>
  <si>
    <t>Río Mulaticos</t>
  </si>
  <si>
    <t>Río Canaletes, Los Córdobas y otros arroyos</t>
  </si>
  <si>
    <t>RESGUARDOS INDÍGENAS (límites oficiales)</t>
  </si>
  <si>
    <t>Territorio</t>
  </si>
  <si>
    <t>Pueblo / municipios</t>
  </si>
  <si>
    <t>Murindo (Rio Murindo)</t>
  </si>
  <si>
    <t>Embera Katío</t>
  </si>
  <si>
    <t>Chaquenoda</t>
  </si>
  <si>
    <t>Andabu</t>
  </si>
  <si>
    <t>Murripantanos</t>
  </si>
  <si>
    <t>Majore Ambura</t>
  </si>
  <si>
    <t>Yaberarado (Abibe Chigorodo)</t>
  </si>
  <si>
    <t>Caiman Nuevo O Atlantico</t>
  </si>
  <si>
    <t>Tule/Guna (Cuna)</t>
  </si>
  <si>
    <t>Jaikerazavi (Abibe Mutata)</t>
  </si>
  <si>
    <t>Rio Chajerado</t>
  </si>
  <si>
    <t>Embera</t>
  </si>
  <si>
    <t>Pavarando Y Amparrado Medio</t>
  </si>
  <si>
    <t>Chimurro Y Nendo</t>
  </si>
  <si>
    <t>Chontadural Cañero</t>
  </si>
  <si>
    <t>Polines</t>
  </si>
  <si>
    <t>Sever</t>
  </si>
  <si>
    <t>Amparrado Alto Medio</t>
  </si>
  <si>
    <t>Chuscal Y Tuguridocito</t>
  </si>
  <si>
    <t>Valle De Perdidas</t>
  </si>
  <si>
    <t>Cañaverales Antado</t>
  </si>
  <si>
    <t>Jengado Apartado</t>
  </si>
  <si>
    <t>Rio Jarapeto</t>
  </si>
  <si>
    <t>Choromandó Alto y Medio</t>
  </si>
  <si>
    <t>El Salado</t>
  </si>
  <si>
    <t>Guaguando</t>
  </si>
  <si>
    <t>Las Playas</t>
  </si>
  <si>
    <t>Coribi Bedado</t>
  </si>
  <si>
    <t>Jenaturado</t>
  </si>
  <si>
    <t>Nusido Comunidad Llano Rio Verde</t>
  </si>
  <si>
    <t>Monzhomando</t>
  </si>
  <si>
    <t>Narikizavi</t>
  </si>
  <si>
    <t>Urada Jiguamiando</t>
  </si>
  <si>
    <t>Rio Alto De San Juan (Compuesto Por 3 Comunidades: Ebano Tacanal, El Polvillo Y Naranjal)</t>
  </si>
  <si>
    <t>Senú/Zenú</t>
  </si>
  <si>
    <t>Canime</t>
  </si>
  <si>
    <t>Los Almendros (El Bagre)</t>
  </si>
  <si>
    <t>La Cristalina (Chocó)</t>
  </si>
  <si>
    <t>Embera Chamí</t>
  </si>
  <si>
    <t>Dokerazavi</t>
  </si>
  <si>
    <t>Embera Drua</t>
  </si>
  <si>
    <t>Comunidad Indigena Embera Chami Y Zenu De La Palma</t>
  </si>
  <si>
    <t>Embera Chamí-Zenú</t>
  </si>
  <si>
    <t>Rio Bebara</t>
  </si>
  <si>
    <t>Santa Maria El Charcon</t>
  </si>
  <si>
    <t>Zenu Del Volao</t>
  </si>
  <si>
    <t>CONSEJOS COMUNITARIOS (límites oficiales)</t>
  </si>
  <si>
    <t>Mayor Del Medio Atrato - Acia</t>
  </si>
  <si>
    <t>Vigía del Fuerte, Murindó, Urrao</t>
  </si>
  <si>
    <t>Bocas De Atrato Y Leoncito</t>
  </si>
  <si>
    <t>Por El Desarrollo Integral</t>
  </si>
  <si>
    <t>Por La Identidad Cultural (Mandé)</t>
  </si>
  <si>
    <t>Urrao, Frontino</t>
  </si>
  <si>
    <t>Manatíes</t>
  </si>
  <si>
    <t>Mayor Del Bajo Atrato</t>
  </si>
  <si>
    <t>Los Ríos La Larga Y Tumaradó</t>
  </si>
  <si>
    <t>Los Mangos</t>
  </si>
  <si>
    <t>La Grande</t>
  </si>
  <si>
    <t>Fuera de la jurisdicción</t>
  </si>
  <si>
    <t>Río Jiguamiandó</t>
  </si>
  <si>
    <t>Turriquitadó</t>
  </si>
  <si>
    <t>Vígia De Curvaradó Y Santa Rosa De Limón</t>
  </si>
  <si>
    <t>DEFORESTACIÓN POR TERRITORIAL — CORPOURABA 2000-2024</t>
  </si>
  <si>
    <t>Las 5 territoriales de la jurisdicción. Fórmulas auditables sobre la hoja «Serie municipal».</t>
  </si>
  <si>
    <t>Deforestación total (ha)</t>
  </si>
  <si>
    <t>% del total</t>
  </si>
  <si>
    <t>Nº municipios</t>
  </si>
  <si>
    <t>«Territorial» es la agrupación administrativa de CORPOURABA (campo «subregion» en los datos). El % es sobre el total deforestado de la jurisdicción (2000-2024).</t>
  </si>
  <si>
    <t>Diccionario de datos y metodología</t>
  </si>
  <si>
    <t>Fuente de datos</t>
  </si>
  <si>
    <t>Monitoreo de cambio de bosque CORPOURABA por periodos (shapefiles, Excel y rásters del paquete institucional 2000-2024), consolidado por el ETL del Observatorio.</t>
  </si>
  <si>
    <t>Clases</t>
  </si>
  <si>
    <t>Bosque Estable (1) · Deforestación (2) · Sin Información (3) · Regeneración (4) · No Bosque Estable (5) — número = gridcode del paquete original.</t>
  </si>
  <si>
    <t>hectareas</t>
  </si>
  <si>
    <t>Suma de hectáreas de la clase en el municipio y periodo (área geométrica en CRS métrico cuando hay shapefile).</t>
  </si>
  <si>
    <t>hectareas_anuales</t>
  </si>
  <si>
    <t>hectareas / años del periodo (los 5 primeros periodos duran 2 años) — usar SIEMPRE para comparar periodos.</t>
  </si>
  <si>
    <t>shapefile · excel · dbf-municipal · raster · estimado · estimado-calibrado-rat (mejor→peor).</t>
  </si>
  <si>
    <t>Sí = el dato no proviene de una medición municipal directa y debe tratarse como referencia, no como cifra oficial.</t>
  </si>
  <si>
    <t>Vacíos del paquete</t>
  </si>
  <si>
    <t>2010-2012: sin datos municipales (solo total departamental del ráster) · 2018-2019: carpeta inexistente · 2023-2024: shapefile municipal perdido. 2015-2016: la geometría (.shp) se perdió pero SÍ sobrevive la tabla de atributos municipal (.dbf) con área real, por lo que su cifra es dato medido.</t>
  </si>
  <si>
    <t>Calibraciones</t>
  </si>
  <si>
    <t>2010-2012 = total departamental real del RAT × participación histórica de la jurisdicción (~18%), repartido por interpolación municipal. 2015-2016 = medición real desde Defor2015_2016_Mpios_Proj_Correg.dbf (área por municipio y clase de los 19 municipios; San Juan de Urabá con 0 ha).</t>
  </si>
  <si>
    <t>Control de calidad</t>
  </si>
  <si>
    <t>La serie consolidada difiere ≤0,3% de las hojas 'Cálculos' de los Excel institucionales originales en los 10 periodos comparables.</t>
  </si>
  <si>
    <t>Fuentes por periodo</t>
  </si>
  <si>
    <t>2000-2002: excel · 2002-2004: shapefile · 2004-2006: shapefile · 2006-2008: shapefile · 2008-2010: shapefile · 2010-2012: estimado · 2012-2013: raster (zonal stats) · 2013-2014: shapefile · 2014-2015: excel · 2015-2016: tabla municipal (dbf) · 2016-2017: shapefile · 2017-2018: shapefile · 2018-2019: estimado · 2019-2020: shapefile · 2020-2021: shapefile · 2021-2022: shapefile · 2022-2023: shapefile · 2023-2024: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</si>
</sst>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color rgb="FF6B7280"/>
      <name val="Calibri"/>
    </font>
    <font>
      <b/>
      <sz val="14"/>
      <color rgb="FF0B3D25"/>
      <name val="Calibri"/>
    </font>
    <font>
      <b/>
      <sz val="22"/>
      <color rgb="FF0B3D25"/>
      <name val="Calibri"/>
    </font>
    <font>
      <sz val="12"/>
      <color rgb="FF374151"/>
      <name val="Calibri"/>
    </font>
    <font>
      <b/>
      <sz val="20"/>
      <color rgb="FF1F7347"/>
      <name val="Calibri"/>
    </font>
    <font>
      <sz val="10"/>
      <color rgb="FF6B7280"/>
      <name val="Calibri"/>
    </font>
    <font>
      <b/>
      <sz val="14"/>
      <color rgb="FF1D4ED8"/>
      <name val="Calibri"/>
    </font>
    <font>
      <b/>
      <sz val="16"/>
      <color rgb="FF1F7347"/>
      <name val="Calibri"/>
    </font>
    <font>
      <b/>
      <sz val="11"/>
      <color rgb="FF1F7347"/>
      <name val="Calibri"/>
    </font>
    <font>
      <sz val="16"/>
      <color rgb="FF1F7347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7347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12" fillId="0" borderId="0" xfId="0" applyFont="1"/>
    <xf numFmtId="0" fontId="6" fillId="0" borderId="0" xfId="0" applyFont="1"/>
    <xf numFmtId="0" fontId="13" fillId="0" borderId="0" xfId="0" applyFont="1"/>
    <xf numFmtId="0" fontId="4" fillId="0" borderId="0" xfId="0" applyFont="1"/>
    <xf numFmtId="0" fontId="11" fillId="0" borderId="0" xfId="0" applyFont="1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49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0" fontId="8" fillId="0" borderId="0" xfId="0" applyFont="1"/>
    <xf numFmtId="0" fontId="3" fillId="0" borderId="0" xfId="0" applyFont="1"/>
    <xf numFmtId="0" fontId="9" fillId="5" borderId="1" xfId="0" applyFont="1" applyFill="1" applyBorder="1"/>
    <xf numFmtId="164" fontId="10" fillId="0" borderId="0" xfId="0" applyNumberFormat="1" applyFont="1"/>
    <xf numFmtId="165" fontId="10" fillId="0" borderId="0" xfId="0" applyNumberFormat="1" applyFont="1"/>
    <xf numFmtId="49" fontId="10" fillId="0" borderId="0" xfId="0" applyNumberFormat="1" applyFont="1"/>
    <xf numFmtId="3" fontId="0" fillId="0" borderId="1" xfId="0" applyNumberForma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3" fontId="0" fillId="3" borderId="1" xfId="0" applyNumberFormat="1" applyFill="1" applyBorder="1"/>
    <xf numFmtId="164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/>
    <xf numFmtId="165" fontId="0" fillId="0" borderId="1" xfId="0" applyNumberFormat="1" applyBorder="1"/>
    <xf numFmtId="164" fontId="2" fillId="0" borderId="0" xfId="0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/>
    <xf numFmtId="49" fontId="7" fillId="4" borderId="0" xfId="0" applyNumberFormat="1" applyFont="1" applyFill="1" applyAlignment="1">
      <alignment horizontal="center" vertical="center"/>
    </xf>
    <xf numFmtId="0" fontId="0" fillId="4" borderId="0" xfId="0" applyFill="1"/>
    <xf numFmtId="3" fontId="7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t>Deforestación anualizada (ha/año) — jurisdicción CORPOURABA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'Serie regional'!$F$1</c:f>
              <c:strCache>
                <c:ptCount val="1"/>
                <c:pt idx="0">
                  <c:v>Ha/año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'Serie regional'!$H$2:$H$19</c:f>
              <c:strCache>
                <c:ptCount val="18"/>
                <c:pt idx="0">
                  <c:v>2000-2002</c:v>
                </c:pt>
                <c:pt idx="1">
                  <c:v>2002-2004</c:v>
                </c:pt>
                <c:pt idx="2">
                  <c:v>2004-2006</c:v>
                </c:pt>
                <c:pt idx="3">
                  <c:v>2006-2008</c:v>
                </c:pt>
                <c:pt idx="4">
                  <c:v>2008-2010</c:v>
                </c:pt>
                <c:pt idx="5">
                  <c:v>2010-2012*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2018-2019*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2023-2024*</c:v>
                </c:pt>
              </c:strCache>
            </c:strRef>
          </c:cat>
          <c:val>
            <c:numRef>
              <c:f>'Serie regional'!$F$2:$F$19</c:f>
              <c:numCache>
                <c:formatCode>#,##0</c:formatCode>
                <c:ptCount val="18"/>
                <c:pt idx="0">
                  <c:v>795.15000000000009</c:v>
                </c:pt>
                <c:pt idx="1">
                  <c:v>1858.9550000000002</c:v>
                </c:pt>
                <c:pt idx="2">
                  <c:v>1510.825</c:v>
                </c:pt>
                <c:pt idx="3">
                  <c:v>1269.7549999999999</c:v>
                </c:pt>
                <c:pt idx="4">
                  <c:v>1460.6799999999998</c:v>
                </c:pt>
                <c:pt idx="5">
                  <c:v>1567.4500000000003</c:v>
                </c:pt>
                <c:pt idx="6">
                  <c:v>2273.9399999999996</c:v>
                </c:pt>
                <c:pt idx="7">
                  <c:v>3576.99</c:v>
                </c:pt>
                <c:pt idx="8">
                  <c:v>2887.4900000000002</c:v>
                </c:pt>
                <c:pt idx="9">
                  <c:v>5771.04</c:v>
                </c:pt>
                <c:pt idx="10">
                  <c:v>3938.3900000000003</c:v>
                </c:pt>
                <c:pt idx="11">
                  <c:v>1765.1599999999999</c:v>
                </c:pt>
                <c:pt idx="12">
                  <c:v>1800.17</c:v>
                </c:pt>
                <c:pt idx="13">
                  <c:v>1737.29</c:v>
                </c:pt>
                <c:pt idx="14">
                  <c:v>1090.76</c:v>
                </c:pt>
                <c:pt idx="15">
                  <c:v>2325.6299999999997</c:v>
                </c:pt>
                <c:pt idx="16">
                  <c:v>1156.2199999999998</c:v>
                </c:pt>
                <c:pt idx="17">
                  <c:v>1596.81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0-4D3E-820B-6D226B92C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ha/año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Top 10 municipios por deforestación acumulada (ha)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Aux!$H$3</c:f>
              <c:strCache>
                <c:ptCount val="1"/>
                <c:pt idx="0">
                  <c:v>Total (ha)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Aux!$G$4:$G$13</c:f>
              <c:strCache>
                <c:ptCount val="10"/>
                <c:pt idx="0">
                  <c:v>Turbo</c:v>
                </c:pt>
                <c:pt idx="1">
                  <c:v>Urrao</c:v>
                </c:pt>
                <c:pt idx="2">
                  <c:v>Dabeiba</c:v>
                </c:pt>
                <c:pt idx="3">
                  <c:v>Mutatá</c:v>
                </c:pt>
                <c:pt idx="4">
                  <c:v>Frontino</c:v>
                </c:pt>
                <c:pt idx="5">
                  <c:v>Necoclí</c:v>
                </c:pt>
                <c:pt idx="6">
                  <c:v>Apartadó</c:v>
                </c:pt>
                <c:pt idx="7">
                  <c:v>Murindó</c:v>
                </c:pt>
                <c:pt idx="8">
                  <c:v>Chigorodó</c:v>
                </c:pt>
                <c:pt idx="9">
                  <c:v>Carepa</c:v>
                </c:pt>
              </c:strCache>
            </c:strRef>
          </c:cat>
          <c:val>
            <c:numRef>
              <c:f>Aux!$H$4:$H$13</c:f>
              <c:numCache>
                <c:formatCode>#,##0</c:formatCode>
                <c:ptCount val="10"/>
                <c:pt idx="0">
                  <c:v>13308.939999999999</c:v>
                </c:pt>
                <c:pt idx="1">
                  <c:v>5759.44</c:v>
                </c:pt>
                <c:pt idx="2">
                  <c:v>5003.33</c:v>
                </c:pt>
                <c:pt idx="3">
                  <c:v>4720.08</c:v>
                </c:pt>
                <c:pt idx="4">
                  <c:v>3058.7000000000003</c:v>
                </c:pt>
                <c:pt idx="5">
                  <c:v>2350.7599999999989</c:v>
                </c:pt>
                <c:pt idx="6">
                  <c:v>2271.6399999999994</c:v>
                </c:pt>
                <c:pt idx="7">
                  <c:v>2200.5499999999997</c:v>
                </c:pt>
                <c:pt idx="8">
                  <c:v>2110.84</c:v>
                </c:pt>
                <c:pt idx="9">
                  <c:v>2026.08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7-4406-9E3C-5D617215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Distribución por territorial (ha)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Aux!$K$16</c:f>
              <c:strCache>
                <c:ptCount val="1"/>
                <c:pt idx="0">
                  <c:v>Total (ha)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Aux!$J$17:$J$21</c:f>
              <c:strCache>
                <c:ptCount val="5"/>
                <c:pt idx="0">
                  <c:v>Caribe</c:v>
                </c:pt>
                <c:pt idx="1">
                  <c:v>Centro</c:v>
                </c:pt>
                <c:pt idx="2">
                  <c:v>Atrato</c:v>
                </c:pt>
                <c:pt idx="3">
                  <c:v>Nutibara</c:v>
                </c:pt>
                <c:pt idx="4">
                  <c:v>Urrao</c:v>
                </c:pt>
              </c:strCache>
            </c:strRef>
          </c:cat>
          <c:val>
            <c:numRef>
              <c:f>Aux!$K$17:$K$21</c:f>
              <c:numCache>
                <c:formatCode>#,##0</c:formatCode>
                <c:ptCount val="5"/>
                <c:pt idx="0">
                  <c:v>3147.14</c:v>
                </c:pt>
                <c:pt idx="1">
                  <c:v>24437.58</c:v>
                </c:pt>
                <c:pt idx="2">
                  <c:v>3369.3499999999995</c:v>
                </c:pt>
                <c:pt idx="3">
                  <c:v>10132.009999999998</c:v>
                </c:pt>
                <c:pt idx="4">
                  <c:v>5759.44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D-4947-8329-A11B2AD7E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2"/>
  <c:chart>
    <c:title>
      <c:tx>
        <c:rich>
          <a:bodyPr/>
          <a:lstStyle/>
          <a:p>
            <a:pPr>
              <a:defRPr/>
            </a:pPr>
            <a:r>
              <a:t>Municipio seleccionado vs promedio regional (ha/año)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'Consulta municipio'!$C$10</c:f>
              <c:strCache>
                <c:ptCount val="1"/>
                <c:pt idx="0">
                  <c:v>Ha/año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'Consulta municipio'!$A$11:$A$28</c:f>
              <c:strCache>
                <c:ptCount val="18"/>
                <c:pt idx="0">
                  <c:v>2000-2002</c:v>
                </c:pt>
                <c:pt idx="1">
                  <c:v>2002-2004</c:v>
                </c:pt>
                <c:pt idx="2">
                  <c:v>2004-2006</c:v>
                </c:pt>
                <c:pt idx="3">
                  <c:v>2006-2008</c:v>
                </c:pt>
                <c:pt idx="4">
                  <c:v>2008-2010</c:v>
                </c:pt>
                <c:pt idx="5">
                  <c:v>2010-2012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</c:strCache>
            </c:strRef>
          </c:cat>
          <c:val>
            <c:numRef>
              <c:f>'Consulta municipio'!$C$11:$C$28</c:f>
              <c:numCache>
                <c:formatCode>#,##0.0</c:formatCode>
                <c:ptCount val="18"/>
                <c:pt idx="0">
                  <c:v>4.5250000000000004</c:v>
                </c:pt>
                <c:pt idx="1">
                  <c:v>4.4950000000000001</c:v>
                </c:pt>
                <c:pt idx="2">
                  <c:v>0</c:v>
                </c:pt>
                <c:pt idx="3">
                  <c:v>0.73499999999999999</c:v>
                </c:pt>
                <c:pt idx="4">
                  <c:v>1.4750000000000001</c:v>
                </c:pt>
                <c:pt idx="5">
                  <c:v>37.22</c:v>
                </c:pt>
                <c:pt idx="6">
                  <c:v>87.29</c:v>
                </c:pt>
                <c:pt idx="7">
                  <c:v>15.25</c:v>
                </c:pt>
                <c:pt idx="8">
                  <c:v>17.09</c:v>
                </c:pt>
                <c:pt idx="9">
                  <c:v>25.12</c:v>
                </c:pt>
                <c:pt idx="10">
                  <c:v>35.659999999999997</c:v>
                </c:pt>
                <c:pt idx="11">
                  <c:v>4.28</c:v>
                </c:pt>
                <c:pt idx="12">
                  <c:v>2.7</c:v>
                </c:pt>
                <c:pt idx="13">
                  <c:v>1.1200000000000001</c:v>
                </c:pt>
                <c:pt idx="14">
                  <c:v>0</c:v>
                </c:pt>
                <c:pt idx="15">
                  <c:v>5.77</c:v>
                </c:pt>
                <c:pt idx="16">
                  <c:v>8.2200000000000006</c:v>
                </c:pt>
                <c:pt idx="17">
                  <c:v>12.14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30-401F-959D-2E678B984CC2}"/>
            </c:ext>
          </c:extLst>
        </c:ser>
        <c:ser>
          <c:idx val="1"/>
          <c:order val="1"/>
          <c:tx>
            <c:strRef>
              <c:f>'Consulta municipio'!$D$10</c:f>
              <c:strCache>
                <c:ptCount val="1"/>
                <c:pt idx="0">
                  <c:v>Ha/año regional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'Consulta municipio'!$A$11:$A$28</c:f>
              <c:strCache>
                <c:ptCount val="18"/>
                <c:pt idx="0">
                  <c:v>2000-2002</c:v>
                </c:pt>
                <c:pt idx="1">
                  <c:v>2002-2004</c:v>
                </c:pt>
                <c:pt idx="2">
                  <c:v>2004-2006</c:v>
                </c:pt>
                <c:pt idx="3">
                  <c:v>2006-2008</c:v>
                </c:pt>
                <c:pt idx="4">
                  <c:v>2008-2010</c:v>
                </c:pt>
                <c:pt idx="5">
                  <c:v>2010-2012</c:v>
                </c:pt>
                <c:pt idx="6">
                  <c:v>2012-2013</c:v>
                </c:pt>
                <c:pt idx="7">
                  <c:v>2013-2014</c:v>
                </c:pt>
                <c:pt idx="8">
                  <c:v>2014-2015</c:v>
                </c:pt>
                <c:pt idx="9">
                  <c:v>2015-2016</c:v>
                </c:pt>
                <c:pt idx="10">
                  <c:v>2016-2017</c:v>
                </c:pt>
                <c:pt idx="11">
                  <c:v>2017-2018</c:v>
                </c:pt>
                <c:pt idx="12">
                  <c:v>2018-2019</c:v>
                </c:pt>
                <c:pt idx="13">
                  <c:v>2019-2020</c:v>
                </c:pt>
                <c:pt idx="14">
                  <c:v>2020-2021</c:v>
                </c:pt>
                <c:pt idx="15">
                  <c:v>2021-2022</c:v>
                </c:pt>
                <c:pt idx="16">
                  <c:v>2022-2023</c:v>
                </c:pt>
                <c:pt idx="17">
                  <c:v>2023-2024</c:v>
                </c:pt>
              </c:strCache>
            </c:strRef>
          </c:cat>
          <c:val>
            <c:numRef>
              <c:f>'Consulta municipio'!$D$11:$D$28</c:f>
              <c:numCache>
                <c:formatCode>#,##0</c:formatCode>
                <c:ptCount val="18"/>
                <c:pt idx="0">
                  <c:v>795.15000000000009</c:v>
                </c:pt>
                <c:pt idx="1">
                  <c:v>1858.9550000000002</c:v>
                </c:pt>
                <c:pt idx="2">
                  <c:v>1510.825</c:v>
                </c:pt>
                <c:pt idx="3">
                  <c:v>1269.7549999999999</c:v>
                </c:pt>
                <c:pt idx="4">
                  <c:v>1460.6799999999998</c:v>
                </c:pt>
                <c:pt idx="5">
                  <c:v>1567.4500000000003</c:v>
                </c:pt>
                <c:pt idx="6">
                  <c:v>2273.9399999999996</c:v>
                </c:pt>
                <c:pt idx="7">
                  <c:v>3576.99</c:v>
                </c:pt>
                <c:pt idx="8">
                  <c:v>2887.4900000000002</c:v>
                </c:pt>
                <c:pt idx="9">
                  <c:v>5771.04</c:v>
                </c:pt>
                <c:pt idx="10">
                  <c:v>3938.3900000000003</c:v>
                </c:pt>
                <c:pt idx="11">
                  <c:v>1765.1599999999999</c:v>
                </c:pt>
                <c:pt idx="12">
                  <c:v>1800.17</c:v>
                </c:pt>
                <c:pt idx="13">
                  <c:v>1737.29</c:v>
                </c:pt>
                <c:pt idx="14">
                  <c:v>1090.76</c:v>
                </c:pt>
                <c:pt idx="15">
                  <c:v>2325.6299999999997</c:v>
                </c:pt>
                <c:pt idx="16">
                  <c:v>1156.2199999999998</c:v>
                </c:pt>
                <c:pt idx="17">
                  <c:v>1596.81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30-401F-959D-2E678B984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ha/año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1"/>
  <c:chart>
    <c:title>
      <c:tx>
        <c:rich>
          <a:bodyPr/>
          <a:lstStyle/>
          <a:p>
            <a:pPr>
              <a:defRPr/>
            </a:pPr>
            <a:r>
              <a:t>Deforestación por territorial (ha)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Territoriales!$B$5</c:f>
              <c:strCache>
                <c:ptCount val="1"/>
                <c:pt idx="0">
                  <c:v>Deforestación total (ha)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Territoriales!$A$6:$A$10</c:f>
              <c:strCache>
                <c:ptCount val="5"/>
                <c:pt idx="0">
                  <c:v>Caribe</c:v>
                </c:pt>
                <c:pt idx="1">
                  <c:v>Centro</c:v>
                </c:pt>
                <c:pt idx="2">
                  <c:v>Atrato</c:v>
                </c:pt>
                <c:pt idx="3">
                  <c:v>Nutibara</c:v>
                </c:pt>
                <c:pt idx="4">
                  <c:v>Urrao</c:v>
                </c:pt>
              </c:strCache>
            </c:strRef>
          </c:cat>
          <c:val>
            <c:numRef>
              <c:f>Territoriales!$B$6:$B$10</c:f>
              <c:numCache>
                <c:formatCode>#,##0.0</c:formatCode>
                <c:ptCount val="5"/>
                <c:pt idx="0">
                  <c:v>3147.14</c:v>
                </c:pt>
                <c:pt idx="1">
                  <c:v>24437.58</c:v>
                </c:pt>
                <c:pt idx="2">
                  <c:v>3369.3499999999995</c:v>
                </c:pt>
                <c:pt idx="3">
                  <c:v>10132.009999999998</c:v>
                </c:pt>
                <c:pt idx="4">
                  <c:v>5759.44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B-4509-867E-51521FD0E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2371725" cy="95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93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29</xdr:row>
      <xdr:rowOff>0</xdr:rowOff>
    </xdr:from>
    <xdr:ext cx="46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29</xdr:row>
      <xdr:rowOff>0</xdr:rowOff>
    </xdr:from>
    <xdr:ext cx="43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28"/>
  <sheetViews>
    <sheetView showGridLines="0" tabSelected="1" workbookViewId="0"/>
  </sheetViews>
  <sheetFormatPr baseColWidth="10" defaultColWidth="9.140625" defaultRowHeight="15" x14ac:dyDescent="0.25"/>
  <cols>
    <col min="2" max="2" width="22" customWidth="1"/>
    <col min="3" max="3" width="90" customWidth="1"/>
  </cols>
  <sheetData>
    <row r="4" spans="2:3" ht="28.5" x14ac:dyDescent="0.45">
      <c r="B4" s="1" t="s">
        <v>0</v>
      </c>
    </row>
    <row r="5" spans="2:3" ht="21" x14ac:dyDescent="0.35">
      <c r="B5" s="2" t="s">
        <v>1</v>
      </c>
    </row>
    <row r="8" spans="2:3" ht="15.75" x14ac:dyDescent="0.25">
      <c r="B8" s="3" t="s">
        <v>2</v>
      </c>
    </row>
    <row r="9" spans="2:3" ht="15.75" x14ac:dyDescent="0.25">
      <c r="B9" s="4" t="s">
        <v>3</v>
      </c>
    </row>
    <row r="10" spans="2:3" ht="15.75" x14ac:dyDescent="0.25">
      <c r="B10" s="3" t="s">
        <v>4</v>
      </c>
    </row>
    <row r="13" spans="2:3" ht="18.75" x14ac:dyDescent="0.3">
      <c r="B13" s="5" t="s">
        <v>5</v>
      </c>
    </row>
    <row r="14" spans="2:3" ht="15.75" x14ac:dyDescent="0.25">
      <c r="B14" s="6" t="s">
        <v>6</v>
      </c>
      <c r="C14" s="3" t="s">
        <v>7</v>
      </c>
    </row>
    <row r="15" spans="2:3" ht="15.75" x14ac:dyDescent="0.25">
      <c r="B15" s="6" t="s">
        <v>8</v>
      </c>
      <c r="C15" s="3" t="s">
        <v>9</v>
      </c>
    </row>
    <row r="16" spans="2:3" ht="15.75" x14ac:dyDescent="0.25">
      <c r="B16" s="6" t="s">
        <v>10</v>
      </c>
      <c r="C16" s="3" t="s">
        <v>11</v>
      </c>
    </row>
    <row r="17" spans="2:3" ht="15.75" x14ac:dyDescent="0.25">
      <c r="B17" s="6" t="s">
        <v>12</v>
      </c>
      <c r="C17" s="3" t="s">
        <v>13</v>
      </c>
    </row>
    <row r="18" spans="2:3" ht="15.75" x14ac:dyDescent="0.25">
      <c r="B18" s="6" t="s">
        <v>14</v>
      </c>
      <c r="C18" s="3" t="s">
        <v>15</v>
      </c>
    </row>
    <row r="19" spans="2:3" ht="15.75" x14ac:dyDescent="0.25">
      <c r="B19" s="6" t="s">
        <v>16</v>
      </c>
      <c r="C19" s="3" t="s">
        <v>17</v>
      </c>
    </row>
    <row r="20" spans="2:3" ht="15.75" x14ac:dyDescent="0.25">
      <c r="B20" s="6" t="s">
        <v>18</v>
      </c>
      <c r="C20" s="3" t="s">
        <v>19</v>
      </c>
    </row>
    <row r="21" spans="2:3" ht="15.75" x14ac:dyDescent="0.25">
      <c r="B21" s="6" t="s">
        <v>20</v>
      </c>
      <c r="C21" s="3" t="s">
        <v>21</v>
      </c>
    </row>
    <row r="22" spans="2:3" ht="15.75" x14ac:dyDescent="0.25">
      <c r="B22" s="6" t="s">
        <v>22</v>
      </c>
      <c r="C22" s="3" t="s">
        <v>21</v>
      </c>
    </row>
    <row r="23" spans="2:3" ht="15.75" x14ac:dyDescent="0.25">
      <c r="B23" s="6" t="s">
        <v>23</v>
      </c>
      <c r="C23" s="3" t="s">
        <v>21</v>
      </c>
    </row>
    <row r="24" spans="2:3" ht="15.75" x14ac:dyDescent="0.25">
      <c r="B24" s="6" t="s">
        <v>24</v>
      </c>
      <c r="C24" s="3" t="s">
        <v>25</v>
      </c>
    </row>
    <row r="27" spans="2:3" x14ac:dyDescent="0.25">
      <c r="B27" s="36" t="s">
        <v>26</v>
      </c>
      <c r="C27" s="37"/>
    </row>
    <row r="28" spans="2:3" x14ac:dyDescent="0.25">
      <c r="B28" s="37"/>
      <c r="C28" s="37"/>
    </row>
  </sheetData>
  <mergeCells count="1">
    <mergeCell ref="B27:C2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0" customWidth="1"/>
    <col min="3" max="4" width="12" customWidth="1"/>
    <col min="5" max="6" width="10" customWidth="1"/>
    <col min="7" max="7" width="18" customWidth="1"/>
    <col min="8" max="9" width="12" customWidth="1"/>
    <col min="10" max="10" width="22" customWidth="1"/>
    <col min="11" max="11" width="10" customWidth="1"/>
  </cols>
  <sheetData>
    <row r="1" spans="1:11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37</v>
      </c>
    </row>
    <row r="2" spans="1:11" x14ac:dyDescent="0.25">
      <c r="A2" s="8" t="s">
        <v>38</v>
      </c>
      <c r="B2" s="9" t="s">
        <v>39</v>
      </c>
      <c r="C2" s="9" t="s">
        <v>40</v>
      </c>
      <c r="D2" s="9" t="s">
        <v>41</v>
      </c>
      <c r="E2" s="10">
        <v>2000</v>
      </c>
      <c r="F2" s="10">
        <v>2002</v>
      </c>
      <c r="G2" s="9" t="s">
        <v>42</v>
      </c>
      <c r="H2" s="11">
        <v>13423.94</v>
      </c>
      <c r="I2" s="11">
        <v>6711.97</v>
      </c>
      <c r="J2" s="9" t="s">
        <v>43</v>
      </c>
      <c r="K2" s="9" t="s">
        <v>44</v>
      </c>
    </row>
    <row r="3" spans="1:11" x14ac:dyDescent="0.25">
      <c r="A3" s="8" t="s">
        <v>38</v>
      </c>
      <c r="B3" s="9" t="s">
        <v>39</v>
      </c>
      <c r="C3" s="9" t="s">
        <v>40</v>
      </c>
      <c r="D3" s="9" t="s">
        <v>41</v>
      </c>
      <c r="E3" s="10">
        <v>2000</v>
      </c>
      <c r="F3" s="10">
        <v>2002</v>
      </c>
      <c r="G3" s="9" t="s">
        <v>45</v>
      </c>
      <c r="H3" s="11">
        <v>9.0500000000000007</v>
      </c>
      <c r="I3" s="11">
        <v>4.53</v>
      </c>
      <c r="J3" s="9" t="s">
        <v>43</v>
      </c>
      <c r="K3" s="9" t="s">
        <v>44</v>
      </c>
    </row>
    <row r="4" spans="1:11" x14ac:dyDescent="0.25">
      <c r="A4" s="8" t="s">
        <v>38</v>
      </c>
      <c r="B4" s="9" t="s">
        <v>39</v>
      </c>
      <c r="C4" s="9" t="s">
        <v>40</v>
      </c>
      <c r="D4" s="9" t="s">
        <v>41</v>
      </c>
      <c r="E4" s="10">
        <v>2000</v>
      </c>
      <c r="F4" s="10">
        <v>2002</v>
      </c>
      <c r="G4" s="9" t="s">
        <v>46</v>
      </c>
      <c r="H4" s="11">
        <v>16259.23</v>
      </c>
      <c r="I4" s="11">
        <v>8129.62</v>
      </c>
      <c r="J4" s="9" t="s">
        <v>43</v>
      </c>
      <c r="K4" s="9" t="s">
        <v>44</v>
      </c>
    </row>
    <row r="5" spans="1:11" x14ac:dyDescent="0.25">
      <c r="A5" s="8" t="s">
        <v>47</v>
      </c>
      <c r="B5" s="9" t="s">
        <v>48</v>
      </c>
      <c r="C5" s="9" t="s">
        <v>49</v>
      </c>
      <c r="D5" s="9" t="s">
        <v>41</v>
      </c>
      <c r="E5" s="10">
        <v>2000</v>
      </c>
      <c r="F5" s="10">
        <v>2002</v>
      </c>
      <c r="G5" s="9" t="s">
        <v>42</v>
      </c>
      <c r="H5" s="11">
        <v>17703.41</v>
      </c>
      <c r="I5" s="11">
        <v>8851.7000000000007</v>
      </c>
      <c r="J5" s="9" t="s">
        <v>43</v>
      </c>
      <c r="K5" s="9" t="s">
        <v>44</v>
      </c>
    </row>
    <row r="6" spans="1:11" x14ac:dyDescent="0.25">
      <c r="A6" s="8" t="s">
        <v>47</v>
      </c>
      <c r="B6" s="9" t="s">
        <v>48</v>
      </c>
      <c r="C6" s="9" t="s">
        <v>49</v>
      </c>
      <c r="D6" s="9" t="s">
        <v>41</v>
      </c>
      <c r="E6" s="10">
        <v>2000</v>
      </c>
      <c r="F6" s="10">
        <v>2002</v>
      </c>
      <c r="G6" s="9" t="s">
        <v>45</v>
      </c>
      <c r="H6" s="11">
        <v>16.41</v>
      </c>
      <c r="I6" s="11">
        <v>8.1999999999999993</v>
      </c>
      <c r="J6" s="9" t="s">
        <v>43</v>
      </c>
      <c r="K6" s="9" t="s">
        <v>44</v>
      </c>
    </row>
    <row r="7" spans="1:11" x14ac:dyDescent="0.25">
      <c r="A7" s="8" t="s">
        <v>47</v>
      </c>
      <c r="B7" s="9" t="s">
        <v>48</v>
      </c>
      <c r="C7" s="9" t="s">
        <v>49</v>
      </c>
      <c r="D7" s="9" t="s">
        <v>41</v>
      </c>
      <c r="E7" s="10">
        <v>2000</v>
      </c>
      <c r="F7" s="10">
        <v>2002</v>
      </c>
      <c r="G7" s="9" t="s">
        <v>46</v>
      </c>
      <c r="H7" s="11">
        <v>35423.51</v>
      </c>
      <c r="I7" s="11">
        <v>17711.759999999998</v>
      </c>
      <c r="J7" s="9" t="s">
        <v>43</v>
      </c>
      <c r="K7" s="9" t="s">
        <v>44</v>
      </c>
    </row>
    <row r="8" spans="1:11" x14ac:dyDescent="0.25">
      <c r="A8" s="8" t="s">
        <v>47</v>
      </c>
      <c r="B8" s="9" t="s">
        <v>48</v>
      </c>
      <c r="C8" s="9" t="s">
        <v>49</v>
      </c>
      <c r="D8" s="9" t="s">
        <v>41</v>
      </c>
      <c r="E8" s="10">
        <v>2000</v>
      </c>
      <c r="F8" s="10">
        <v>2002</v>
      </c>
      <c r="G8" s="9" t="s">
        <v>50</v>
      </c>
      <c r="H8" s="11">
        <v>252.81</v>
      </c>
      <c r="I8" s="11">
        <v>126.4</v>
      </c>
      <c r="J8" s="9" t="s">
        <v>43</v>
      </c>
      <c r="K8" s="9" t="s">
        <v>44</v>
      </c>
    </row>
    <row r="9" spans="1:11" x14ac:dyDescent="0.25">
      <c r="A9" s="8" t="s">
        <v>51</v>
      </c>
      <c r="B9" s="9" t="s">
        <v>52</v>
      </c>
      <c r="C9" s="9" t="s">
        <v>53</v>
      </c>
      <c r="D9" s="9" t="s">
        <v>41</v>
      </c>
      <c r="E9" s="10">
        <v>2000</v>
      </c>
      <c r="F9" s="10">
        <v>2002</v>
      </c>
      <c r="G9" s="9" t="s">
        <v>42</v>
      </c>
      <c r="H9" s="11">
        <v>1237.9100000000001</v>
      </c>
      <c r="I9" s="11">
        <v>618.96</v>
      </c>
      <c r="J9" s="9" t="s">
        <v>43</v>
      </c>
      <c r="K9" s="9" t="s">
        <v>44</v>
      </c>
    </row>
    <row r="10" spans="1:11" x14ac:dyDescent="0.25">
      <c r="A10" s="8" t="s">
        <v>51</v>
      </c>
      <c r="B10" s="9" t="s">
        <v>52</v>
      </c>
      <c r="C10" s="9" t="s">
        <v>53</v>
      </c>
      <c r="D10" s="9" t="s">
        <v>41</v>
      </c>
      <c r="E10" s="10">
        <v>2000</v>
      </c>
      <c r="F10" s="10">
        <v>2002</v>
      </c>
      <c r="G10" s="9" t="s">
        <v>45</v>
      </c>
      <c r="H10" s="11">
        <v>2.68</v>
      </c>
      <c r="I10" s="11">
        <v>1.34</v>
      </c>
      <c r="J10" s="9" t="s">
        <v>43</v>
      </c>
      <c r="K10" s="9" t="s">
        <v>44</v>
      </c>
    </row>
    <row r="11" spans="1:11" x14ac:dyDescent="0.25">
      <c r="A11" s="8" t="s">
        <v>51</v>
      </c>
      <c r="B11" s="9" t="s">
        <v>52</v>
      </c>
      <c r="C11" s="9" t="s">
        <v>53</v>
      </c>
      <c r="D11" s="9" t="s">
        <v>41</v>
      </c>
      <c r="E11" s="10">
        <v>2000</v>
      </c>
      <c r="F11" s="10">
        <v>2002</v>
      </c>
      <c r="G11" s="9" t="s">
        <v>46</v>
      </c>
      <c r="H11" s="11">
        <v>72954.649999999994</v>
      </c>
      <c r="I11" s="11">
        <v>36477.32</v>
      </c>
      <c r="J11" s="9" t="s">
        <v>43</v>
      </c>
      <c r="K11" s="9" t="s">
        <v>44</v>
      </c>
    </row>
    <row r="12" spans="1:11" x14ac:dyDescent="0.25">
      <c r="A12" s="8" t="s">
        <v>51</v>
      </c>
      <c r="B12" s="9" t="s">
        <v>52</v>
      </c>
      <c r="C12" s="9" t="s">
        <v>53</v>
      </c>
      <c r="D12" s="9" t="s">
        <v>41</v>
      </c>
      <c r="E12" s="10">
        <v>2000</v>
      </c>
      <c r="F12" s="10">
        <v>2002</v>
      </c>
      <c r="G12" s="9" t="s">
        <v>50</v>
      </c>
      <c r="H12" s="11">
        <v>0.75</v>
      </c>
      <c r="I12" s="11">
        <v>0.38</v>
      </c>
      <c r="J12" s="9" t="s">
        <v>43</v>
      </c>
      <c r="K12" s="9" t="s">
        <v>44</v>
      </c>
    </row>
    <row r="13" spans="1:11" x14ac:dyDescent="0.25">
      <c r="A13" s="8" t="s">
        <v>54</v>
      </c>
      <c r="B13" s="9" t="s">
        <v>55</v>
      </c>
      <c r="C13" s="9" t="s">
        <v>49</v>
      </c>
      <c r="D13" s="9" t="s">
        <v>41</v>
      </c>
      <c r="E13" s="10">
        <v>2000</v>
      </c>
      <c r="F13" s="10">
        <v>2002</v>
      </c>
      <c r="G13" s="9" t="s">
        <v>42</v>
      </c>
      <c r="H13" s="11">
        <v>6956.56</v>
      </c>
      <c r="I13" s="11">
        <v>3478.28</v>
      </c>
      <c r="J13" s="9" t="s">
        <v>43</v>
      </c>
      <c r="K13" s="9" t="s">
        <v>44</v>
      </c>
    </row>
    <row r="14" spans="1:11" x14ac:dyDescent="0.25">
      <c r="A14" s="8" t="s">
        <v>54</v>
      </c>
      <c r="B14" s="9" t="s">
        <v>55</v>
      </c>
      <c r="C14" s="9" t="s">
        <v>49</v>
      </c>
      <c r="D14" s="9" t="s">
        <v>41</v>
      </c>
      <c r="E14" s="10">
        <v>2000</v>
      </c>
      <c r="F14" s="10">
        <v>2002</v>
      </c>
      <c r="G14" s="9" t="s">
        <v>45</v>
      </c>
      <c r="H14" s="11">
        <v>19.71</v>
      </c>
      <c r="I14" s="11">
        <v>9.86</v>
      </c>
      <c r="J14" s="9" t="s">
        <v>43</v>
      </c>
      <c r="K14" s="9" t="s">
        <v>44</v>
      </c>
    </row>
    <row r="15" spans="1:11" x14ac:dyDescent="0.25">
      <c r="A15" s="8" t="s">
        <v>54</v>
      </c>
      <c r="B15" s="9" t="s">
        <v>55</v>
      </c>
      <c r="C15" s="9" t="s">
        <v>49</v>
      </c>
      <c r="D15" s="9" t="s">
        <v>41</v>
      </c>
      <c r="E15" s="10">
        <v>2000</v>
      </c>
      <c r="F15" s="10">
        <v>2002</v>
      </c>
      <c r="G15" s="9" t="s">
        <v>46</v>
      </c>
      <c r="H15" s="11">
        <v>31371.94</v>
      </c>
      <c r="I15" s="11">
        <v>15685.97</v>
      </c>
      <c r="J15" s="9" t="s">
        <v>43</v>
      </c>
      <c r="K15" s="9" t="s">
        <v>44</v>
      </c>
    </row>
    <row r="16" spans="1:11" x14ac:dyDescent="0.25">
      <c r="A16" s="8" t="s">
        <v>54</v>
      </c>
      <c r="B16" s="9" t="s">
        <v>55</v>
      </c>
      <c r="C16" s="9" t="s">
        <v>49</v>
      </c>
      <c r="D16" s="9" t="s">
        <v>41</v>
      </c>
      <c r="E16" s="10">
        <v>2000</v>
      </c>
      <c r="F16" s="10">
        <v>2002</v>
      </c>
      <c r="G16" s="9" t="s">
        <v>50</v>
      </c>
      <c r="H16" s="11">
        <v>106.36</v>
      </c>
      <c r="I16" s="11">
        <v>53.18</v>
      </c>
      <c r="J16" s="9" t="s">
        <v>43</v>
      </c>
      <c r="K16" s="9" t="s">
        <v>44</v>
      </c>
    </row>
    <row r="17" spans="1:11" x14ac:dyDescent="0.25">
      <c r="A17" s="8" t="s">
        <v>56</v>
      </c>
      <c r="B17" s="9" t="s">
        <v>57</v>
      </c>
      <c r="C17" s="9" t="s">
        <v>40</v>
      </c>
      <c r="D17" s="9" t="s">
        <v>41</v>
      </c>
      <c r="E17" s="10">
        <v>2000</v>
      </c>
      <c r="F17" s="10">
        <v>2002</v>
      </c>
      <c r="G17" s="9" t="s">
        <v>42</v>
      </c>
      <c r="H17" s="11">
        <v>11950.82</v>
      </c>
      <c r="I17" s="11">
        <v>5975.41</v>
      </c>
      <c r="J17" s="9" t="s">
        <v>43</v>
      </c>
      <c r="K17" s="9" t="s">
        <v>44</v>
      </c>
    </row>
    <row r="18" spans="1:11" x14ac:dyDescent="0.25">
      <c r="A18" s="8" t="s">
        <v>56</v>
      </c>
      <c r="B18" s="9" t="s">
        <v>57</v>
      </c>
      <c r="C18" s="9" t="s">
        <v>40</v>
      </c>
      <c r="D18" s="9" t="s">
        <v>41</v>
      </c>
      <c r="E18" s="10">
        <v>2000</v>
      </c>
      <c r="F18" s="10">
        <v>2002</v>
      </c>
      <c r="G18" s="9" t="s">
        <v>45</v>
      </c>
      <c r="H18" s="11">
        <v>8.0399999999999991</v>
      </c>
      <c r="I18" s="11">
        <v>4.0199999999999996</v>
      </c>
      <c r="J18" s="9" t="s">
        <v>43</v>
      </c>
      <c r="K18" s="9" t="s">
        <v>44</v>
      </c>
    </row>
    <row r="19" spans="1:11" x14ac:dyDescent="0.25">
      <c r="A19" s="8" t="s">
        <v>56</v>
      </c>
      <c r="B19" s="9" t="s">
        <v>57</v>
      </c>
      <c r="C19" s="9" t="s">
        <v>40</v>
      </c>
      <c r="D19" s="9" t="s">
        <v>41</v>
      </c>
      <c r="E19" s="10">
        <v>2000</v>
      </c>
      <c r="F19" s="10">
        <v>2002</v>
      </c>
      <c r="G19" s="9" t="s">
        <v>46</v>
      </c>
      <c r="H19" s="11">
        <v>24516.82</v>
      </c>
      <c r="I19" s="11">
        <v>12258.41</v>
      </c>
      <c r="J19" s="9" t="s">
        <v>43</v>
      </c>
      <c r="K19" s="9" t="s">
        <v>44</v>
      </c>
    </row>
    <row r="20" spans="1:11" x14ac:dyDescent="0.25">
      <c r="A20" s="8" t="s">
        <v>58</v>
      </c>
      <c r="B20" s="9" t="s">
        <v>59</v>
      </c>
      <c r="C20" s="9" t="s">
        <v>49</v>
      </c>
      <c r="D20" s="9" t="s">
        <v>41</v>
      </c>
      <c r="E20" s="10">
        <v>2000</v>
      </c>
      <c r="F20" s="10">
        <v>2002</v>
      </c>
      <c r="G20" s="9" t="s">
        <v>42</v>
      </c>
      <c r="H20" s="11">
        <v>21398.01</v>
      </c>
      <c r="I20" s="11">
        <v>10699</v>
      </c>
      <c r="J20" s="9" t="s">
        <v>43</v>
      </c>
      <c r="K20" s="9" t="s">
        <v>44</v>
      </c>
    </row>
    <row r="21" spans="1:11" x14ac:dyDescent="0.25">
      <c r="A21" s="8" t="s">
        <v>58</v>
      </c>
      <c r="B21" s="9" t="s">
        <v>59</v>
      </c>
      <c r="C21" s="9" t="s">
        <v>49</v>
      </c>
      <c r="D21" s="9" t="s">
        <v>41</v>
      </c>
      <c r="E21" s="10">
        <v>2000</v>
      </c>
      <c r="F21" s="10">
        <v>2002</v>
      </c>
      <c r="G21" s="9" t="s">
        <v>45</v>
      </c>
      <c r="H21" s="11">
        <v>6.79</v>
      </c>
      <c r="I21" s="11">
        <v>3.4</v>
      </c>
      <c r="J21" s="9" t="s">
        <v>43</v>
      </c>
      <c r="K21" s="9" t="s">
        <v>44</v>
      </c>
    </row>
    <row r="22" spans="1:11" x14ac:dyDescent="0.25">
      <c r="A22" s="8" t="s">
        <v>58</v>
      </c>
      <c r="B22" s="9" t="s">
        <v>59</v>
      </c>
      <c r="C22" s="9" t="s">
        <v>49</v>
      </c>
      <c r="D22" s="9" t="s">
        <v>41</v>
      </c>
      <c r="E22" s="10">
        <v>2000</v>
      </c>
      <c r="F22" s="10">
        <v>2002</v>
      </c>
      <c r="G22" s="9" t="s">
        <v>46</v>
      </c>
      <c r="H22" s="11">
        <v>48882.69</v>
      </c>
      <c r="I22" s="11">
        <v>24441.34</v>
      </c>
      <c r="J22" s="9" t="s">
        <v>43</v>
      </c>
      <c r="K22" s="9" t="s">
        <v>44</v>
      </c>
    </row>
    <row r="23" spans="1:11" x14ac:dyDescent="0.25">
      <c r="A23" s="8" t="s">
        <v>58</v>
      </c>
      <c r="B23" s="9" t="s">
        <v>59</v>
      </c>
      <c r="C23" s="9" t="s">
        <v>49</v>
      </c>
      <c r="D23" s="9" t="s">
        <v>41</v>
      </c>
      <c r="E23" s="10">
        <v>2000</v>
      </c>
      <c r="F23" s="10">
        <v>2002</v>
      </c>
      <c r="G23" s="9" t="s">
        <v>50</v>
      </c>
      <c r="H23" s="11">
        <v>339.19</v>
      </c>
      <c r="I23" s="11">
        <v>169.6</v>
      </c>
      <c r="J23" s="9" t="s">
        <v>43</v>
      </c>
      <c r="K23" s="9" t="s">
        <v>44</v>
      </c>
    </row>
    <row r="24" spans="1:11" x14ac:dyDescent="0.25">
      <c r="A24" s="8" t="s">
        <v>60</v>
      </c>
      <c r="B24" s="9" t="s">
        <v>61</v>
      </c>
      <c r="C24" s="9" t="s">
        <v>40</v>
      </c>
      <c r="D24" s="9" t="s">
        <v>41</v>
      </c>
      <c r="E24" s="10">
        <v>2000</v>
      </c>
      <c r="F24" s="10">
        <v>2002</v>
      </c>
      <c r="G24" s="9" t="s">
        <v>42</v>
      </c>
      <c r="H24" s="11">
        <v>142038.26</v>
      </c>
      <c r="I24" s="11">
        <v>71019.13</v>
      </c>
      <c r="J24" s="9" t="s">
        <v>43</v>
      </c>
      <c r="K24" s="9" t="s">
        <v>44</v>
      </c>
    </row>
    <row r="25" spans="1:11" x14ac:dyDescent="0.25">
      <c r="A25" s="8" t="s">
        <v>60</v>
      </c>
      <c r="B25" s="9" t="s">
        <v>61</v>
      </c>
      <c r="C25" s="9" t="s">
        <v>40</v>
      </c>
      <c r="D25" s="9" t="s">
        <v>41</v>
      </c>
      <c r="E25" s="10">
        <v>2000</v>
      </c>
      <c r="F25" s="10">
        <v>2002</v>
      </c>
      <c r="G25" s="9" t="s">
        <v>45</v>
      </c>
      <c r="H25" s="11">
        <v>181.34</v>
      </c>
      <c r="I25" s="11">
        <v>90.67</v>
      </c>
      <c r="J25" s="9" t="s">
        <v>43</v>
      </c>
      <c r="K25" s="9" t="s">
        <v>44</v>
      </c>
    </row>
    <row r="26" spans="1:11" x14ac:dyDescent="0.25">
      <c r="A26" s="8" t="s">
        <v>60</v>
      </c>
      <c r="B26" s="9" t="s">
        <v>61</v>
      </c>
      <c r="C26" s="9" t="s">
        <v>40</v>
      </c>
      <c r="D26" s="9" t="s">
        <v>41</v>
      </c>
      <c r="E26" s="10">
        <v>2000</v>
      </c>
      <c r="F26" s="10">
        <v>2002</v>
      </c>
      <c r="G26" s="9" t="s">
        <v>46</v>
      </c>
      <c r="H26" s="11">
        <v>48785.36</v>
      </c>
      <c r="I26" s="11">
        <v>24392.68</v>
      </c>
      <c r="J26" s="9" t="s">
        <v>43</v>
      </c>
      <c r="K26" s="9" t="s">
        <v>44</v>
      </c>
    </row>
    <row r="27" spans="1:11" x14ac:dyDescent="0.25">
      <c r="A27" s="8" t="s">
        <v>60</v>
      </c>
      <c r="B27" s="9" t="s">
        <v>61</v>
      </c>
      <c r="C27" s="9" t="s">
        <v>40</v>
      </c>
      <c r="D27" s="9" t="s">
        <v>41</v>
      </c>
      <c r="E27" s="10">
        <v>2000</v>
      </c>
      <c r="F27" s="10">
        <v>2002</v>
      </c>
      <c r="G27" s="9" t="s">
        <v>50</v>
      </c>
      <c r="H27" s="11">
        <v>4218.1400000000003</v>
      </c>
      <c r="I27" s="11">
        <v>2109.0700000000002</v>
      </c>
      <c r="J27" s="9" t="s">
        <v>43</v>
      </c>
      <c r="K27" s="9" t="s">
        <v>44</v>
      </c>
    </row>
    <row r="28" spans="1:11" x14ac:dyDescent="0.25">
      <c r="A28" s="8" t="s">
        <v>62</v>
      </c>
      <c r="B28" s="9" t="s">
        <v>63</v>
      </c>
      <c r="C28" s="9" t="s">
        <v>40</v>
      </c>
      <c r="D28" s="9" t="s">
        <v>41</v>
      </c>
      <c r="E28" s="10">
        <v>2000</v>
      </c>
      <c r="F28" s="10">
        <v>2002</v>
      </c>
      <c r="G28" s="9" t="s">
        <v>42</v>
      </c>
      <c r="H28" s="11">
        <v>91701.19</v>
      </c>
      <c r="I28" s="11">
        <v>45850.6</v>
      </c>
      <c r="J28" s="9" t="s">
        <v>43</v>
      </c>
      <c r="K28" s="9" t="s">
        <v>44</v>
      </c>
    </row>
    <row r="29" spans="1:11" x14ac:dyDescent="0.25">
      <c r="A29" s="8" t="s">
        <v>62</v>
      </c>
      <c r="B29" s="9" t="s">
        <v>63</v>
      </c>
      <c r="C29" s="9" t="s">
        <v>40</v>
      </c>
      <c r="D29" s="9" t="s">
        <v>41</v>
      </c>
      <c r="E29" s="10">
        <v>2000</v>
      </c>
      <c r="F29" s="10">
        <v>2002</v>
      </c>
      <c r="G29" s="9" t="s">
        <v>45</v>
      </c>
      <c r="H29" s="11">
        <v>85.78</v>
      </c>
      <c r="I29" s="11">
        <v>42.89</v>
      </c>
      <c r="J29" s="9" t="s">
        <v>43</v>
      </c>
      <c r="K29" s="9" t="s">
        <v>44</v>
      </c>
    </row>
    <row r="30" spans="1:11" x14ac:dyDescent="0.25">
      <c r="A30" s="8" t="s">
        <v>62</v>
      </c>
      <c r="B30" s="9" t="s">
        <v>63</v>
      </c>
      <c r="C30" s="9" t="s">
        <v>40</v>
      </c>
      <c r="D30" s="9" t="s">
        <v>41</v>
      </c>
      <c r="E30" s="10">
        <v>2000</v>
      </c>
      <c r="F30" s="10">
        <v>2002</v>
      </c>
      <c r="G30" s="9" t="s">
        <v>46</v>
      </c>
      <c r="H30" s="11">
        <v>45248.33</v>
      </c>
      <c r="I30" s="11">
        <v>22624.16</v>
      </c>
      <c r="J30" s="9" t="s">
        <v>43</v>
      </c>
      <c r="K30" s="9" t="s">
        <v>44</v>
      </c>
    </row>
    <row r="31" spans="1:11" x14ac:dyDescent="0.25">
      <c r="A31" s="8" t="s">
        <v>62</v>
      </c>
      <c r="B31" s="9" t="s">
        <v>63</v>
      </c>
      <c r="C31" s="9" t="s">
        <v>40</v>
      </c>
      <c r="D31" s="9" t="s">
        <v>41</v>
      </c>
      <c r="E31" s="10">
        <v>2000</v>
      </c>
      <c r="F31" s="10">
        <v>2002</v>
      </c>
      <c r="G31" s="9" t="s">
        <v>64</v>
      </c>
      <c r="H31" s="11">
        <v>0.63</v>
      </c>
      <c r="I31" s="11">
        <v>0.32</v>
      </c>
      <c r="J31" s="9" t="s">
        <v>43</v>
      </c>
      <c r="K31" s="9" t="s">
        <v>44</v>
      </c>
    </row>
    <row r="32" spans="1:11" x14ac:dyDescent="0.25">
      <c r="A32" s="8" t="s">
        <v>62</v>
      </c>
      <c r="B32" s="9" t="s">
        <v>63</v>
      </c>
      <c r="C32" s="9" t="s">
        <v>40</v>
      </c>
      <c r="D32" s="9" t="s">
        <v>41</v>
      </c>
      <c r="E32" s="10">
        <v>2000</v>
      </c>
      <c r="F32" s="10">
        <v>2002</v>
      </c>
      <c r="G32" s="9" t="s">
        <v>50</v>
      </c>
      <c r="H32" s="11">
        <v>1409.68</v>
      </c>
      <c r="I32" s="11">
        <v>704.84</v>
      </c>
      <c r="J32" s="9" t="s">
        <v>43</v>
      </c>
      <c r="K32" s="9" t="s">
        <v>44</v>
      </c>
    </row>
    <row r="33" spans="1:11" x14ac:dyDescent="0.25">
      <c r="A33" s="8" t="s">
        <v>65</v>
      </c>
      <c r="B33" s="9" t="s">
        <v>66</v>
      </c>
      <c r="C33" s="9" t="s">
        <v>40</v>
      </c>
      <c r="D33" s="9" t="s">
        <v>41</v>
      </c>
      <c r="E33" s="10">
        <v>2000</v>
      </c>
      <c r="F33" s="10">
        <v>2002</v>
      </c>
      <c r="G33" s="9" t="s">
        <v>42</v>
      </c>
      <c r="H33" s="11">
        <v>1305.01</v>
      </c>
      <c r="I33" s="11">
        <v>652.5</v>
      </c>
      <c r="J33" s="9" t="s">
        <v>43</v>
      </c>
      <c r="K33" s="9" t="s">
        <v>44</v>
      </c>
    </row>
    <row r="34" spans="1:11" x14ac:dyDescent="0.25">
      <c r="A34" s="8" t="s">
        <v>65</v>
      </c>
      <c r="B34" s="9" t="s">
        <v>66</v>
      </c>
      <c r="C34" s="9" t="s">
        <v>40</v>
      </c>
      <c r="D34" s="9" t="s">
        <v>41</v>
      </c>
      <c r="E34" s="10">
        <v>2000</v>
      </c>
      <c r="F34" s="10">
        <v>2002</v>
      </c>
      <c r="G34" s="9" t="s">
        <v>45</v>
      </c>
      <c r="H34" s="11">
        <v>1.06</v>
      </c>
      <c r="I34" s="11">
        <v>0.53</v>
      </c>
      <c r="J34" s="9" t="s">
        <v>43</v>
      </c>
      <c r="K34" s="9" t="s">
        <v>44</v>
      </c>
    </row>
    <row r="35" spans="1:11" x14ac:dyDescent="0.25">
      <c r="A35" s="8" t="s">
        <v>65</v>
      </c>
      <c r="B35" s="9" t="s">
        <v>66</v>
      </c>
      <c r="C35" s="9" t="s">
        <v>40</v>
      </c>
      <c r="D35" s="9" t="s">
        <v>41</v>
      </c>
      <c r="E35" s="10">
        <v>2000</v>
      </c>
      <c r="F35" s="10">
        <v>2002</v>
      </c>
      <c r="G35" s="9" t="s">
        <v>46</v>
      </c>
      <c r="H35" s="11">
        <v>8031.94</v>
      </c>
      <c r="I35" s="11">
        <v>4015.97</v>
      </c>
      <c r="J35" s="9" t="s">
        <v>43</v>
      </c>
      <c r="K35" s="9" t="s">
        <v>44</v>
      </c>
    </row>
    <row r="36" spans="1:11" x14ac:dyDescent="0.25">
      <c r="A36" s="8" t="s">
        <v>67</v>
      </c>
      <c r="B36" s="9" t="s">
        <v>68</v>
      </c>
      <c r="C36" s="9" t="s">
        <v>69</v>
      </c>
      <c r="D36" s="9" t="s">
        <v>41</v>
      </c>
      <c r="E36" s="10">
        <v>2000</v>
      </c>
      <c r="F36" s="10">
        <v>2002</v>
      </c>
      <c r="G36" s="9" t="s">
        <v>42</v>
      </c>
      <c r="H36" s="11">
        <v>105373.27</v>
      </c>
      <c r="I36" s="11">
        <v>52686.64</v>
      </c>
      <c r="J36" s="9" t="s">
        <v>43</v>
      </c>
      <c r="K36" s="9" t="s">
        <v>44</v>
      </c>
    </row>
    <row r="37" spans="1:11" x14ac:dyDescent="0.25">
      <c r="A37" s="8" t="s">
        <v>67</v>
      </c>
      <c r="B37" s="9" t="s">
        <v>68</v>
      </c>
      <c r="C37" s="9" t="s">
        <v>69</v>
      </c>
      <c r="D37" s="9" t="s">
        <v>41</v>
      </c>
      <c r="E37" s="10">
        <v>2000</v>
      </c>
      <c r="F37" s="10">
        <v>2002</v>
      </c>
      <c r="G37" s="9" t="s">
        <v>45</v>
      </c>
      <c r="H37" s="11">
        <v>26.23</v>
      </c>
      <c r="I37" s="11">
        <v>13.12</v>
      </c>
      <c r="J37" s="9" t="s">
        <v>43</v>
      </c>
      <c r="K37" s="9" t="s">
        <v>44</v>
      </c>
    </row>
    <row r="38" spans="1:11" x14ac:dyDescent="0.25">
      <c r="A38" s="8" t="s">
        <v>67</v>
      </c>
      <c r="B38" s="9" t="s">
        <v>68</v>
      </c>
      <c r="C38" s="9" t="s">
        <v>69</v>
      </c>
      <c r="D38" s="9" t="s">
        <v>41</v>
      </c>
      <c r="E38" s="10">
        <v>2000</v>
      </c>
      <c r="F38" s="10">
        <v>2002</v>
      </c>
      <c r="G38" s="9" t="s">
        <v>46</v>
      </c>
      <c r="H38" s="11">
        <v>14296.18</v>
      </c>
      <c r="I38" s="11">
        <v>7148.09</v>
      </c>
      <c r="J38" s="9" t="s">
        <v>43</v>
      </c>
      <c r="K38" s="9" t="s">
        <v>44</v>
      </c>
    </row>
    <row r="39" spans="1:11" x14ac:dyDescent="0.25">
      <c r="A39" s="8" t="s">
        <v>67</v>
      </c>
      <c r="B39" s="9" t="s">
        <v>68</v>
      </c>
      <c r="C39" s="9" t="s">
        <v>69</v>
      </c>
      <c r="D39" s="9" t="s">
        <v>41</v>
      </c>
      <c r="E39" s="10">
        <v>2000</v>
      </c>
      <c r="F39" s="10">
        <v>2002</v>
      </c>
      <c r="G39" s="9" t="s">
        <v>50</v>
      </c>
      <c r="H39" s="11">
        <v>5512.09</v>
      </c>
      <c r="I39" s="11">
        <v>2756.04</v>
      </c>
      <c r="J39" s="9" t="s">
        <v>43</v>
      </c>
      <c r="K39" s="9" t="s">
        <v>44</v>
      </c>
    </row>
    <row r="40" spans="1:11" x14ac:dyDescent="0.25">
      <c r="A40" s="8" t="s">
        <v>70</v>
      </c>
      <c r="B40" s="9" t="s">
        <v>71</v>
      </c>
      <c r="C40" s="9" t="s">
        <v>49</v>
      </c>
      <c r="D40" s="9" t="s">
        <v>41</v>
      </c>
      <c r="E40" s="10">
        <v>2000</v>
      </c>
      <c r="F40" s="10">
        <v>2002</v>
      </c>
      <c r="G40" s="9" t="s">
        <v>42</v>
      </c>
      <c r="H40" s="11">
        <v>67022.679999999993</v>
      </c>
      <c r="I40" s="11">
        <v>33511.339999999997</v>
      </c>
      <c r="J40" s="9" t="s">
        <v>43</v>
      </c>
      <c r="K40" s="9" t="s">
        <v>44</v>
      </c>
    </row>
    <row r="41" spans="1:11" x14ac:dyDescent="0.25">
      <c r="A41" s="8" t="s">
        <v>70</v>
      </c>
      <c r="B41" s="9" t="s">
        <v>71</v>
      </c>
      <c r="C41" s="9" t="s">
        <v>49</v>
      </c>
      <c r="D41" s="9" t="s">
        <v>41</v>
      </c>
      <c r="E41" s="10">
        <v>2000</v>
      </c>
      <c r="F41" s="10">
        <v>2002</v>
      </c>
      <c r="G41" s="9" t="s">
        <v>45</v>
      </c>
      <c r="H41" s="11">
        <v>285.86</v>
      </c>
      <c r="I41" s="11">
        <v>142.93</v>
      </c>
      <c r="J41" s="9" t="s">
        <v>43</v>
      </c>
      <c r="K41" s="9" t="s">
        <v>44</v>
      </c>
    </row>
    <row r="42" spans="1:11" x14ac:dyDescent="0.25">
      <c r="A42" s="8" t="s">
        <v>70</v>
      </c>
      <c r="B42" s="9" t="s">
        <v>71</v>
      </c>
      <c r="C42" s="9" t="s">
        <v>49</v>
      </c>
      <c r="D42" s="9" t="s">
        <v>41</v>
      </c>
      <c r="E42" s="10">
        <v>2000</v>
      </c>
      <c r="F42" s="10">
        <v>2002</v>
      </c>
      <c r="G42" s="9" t="s">
        <v>46</v>
      </c>
      <c r="H42" s="11">
        <v>35050.85</v>
      </c>
      <c r="I42" s="11">
        <v>17525.419999999998</v>
      </c>
      <c r="J42" s="9" t="s">
        <v>43</v>
      </c>
      <c r="K42" s="9" t="s">
        <v>44</v>
      </c>
    </row>
    <row r="43" spans="1:11" x14ac:dyDescent="0.25">
      <c r="A43" s="8" t="s">
        <v>70</v>
      </c>
      <c r="B43" s="9" t="s">
        <v>71</v>
      </c>
      <c r="C43" s="9" t="s">
        <v>49</v>
      </c>
      <c r="D43" s="9" t="s">
        <v>41</v>
      </c>
      <c r="E43" s="10">
        <v>2000</v>
      </c>
      <c r="F43" s="10">
        <v>2002</v>
      </c>
      <c r="G43" s="9" t="s">
        <v>50</v>
      </c>
      <c r="H43" s="11">
        <v>3730.56</v>
      </c>
      <c r="I43" s="11">
        <v>1865.28</v>
      </c>
      <c r="J43" s="9" t="s">
        <v>43</v>
      </c>
      <c r="K43" s="9" t="s">
        <v>44</v>
      </c>
    </row>
    <row r="44" spans="1:11" x14ac:dyDescent="0.25">
      <c r="A44" s="8" t="s">
        <v>72</v>
      </c>
      <c r="B44" s="9" t="s">
        <v>73</v>
      </c>
      <c r="C44" s="9" t="s">
        <v>53</v>
      </c>
      <c r="D44" s="9" t="s">
        <v>41</v>
      </c>
      <c r="E44" s="10">
        <v>2000</v>
      </c>
      <c r="F44" s="10">
        <v>2002</v>
      </c>
      <c r="G44" s="9" t="s">
        <v>42</v>
      </c>
      <c r="H44" s="11">
        <v>22055.72</v>
      </c>
      <c r="I44" s="11">
        <v>11027.86</v>
      </c>
      <c r="J44" s="9" t="s">
        <v>43</v>
      </c>
      <c r="K44" s="9" t="s">
        <v>44</v>
      </c>
    </row>
    <row r="45" spans="1:11" x14ac:dyDescent="0.25">
      <c r="A45" s="8" t="s">
        <v>72</v>
      </c>
      <c r="B45" s="9" t="s">
        <v>73</v>
      </c>
      <c r="C45" s="9" t="s">
        <v>53</v>
      </c>
      <c r="D45" s="9" t="s">
        <v>41</v>
      </c>
      <c r="E45" s="10">
        <v>2000</v>
      </c>
      <c r="F45" s="10">
        <v>2002</v>
      </c>
      <c r="G45" s="9" t="s">
        <v>45</v>
      </c>
      <c r="H45" s="11">
        <v>142.44999999999999</v>
      </c>
      <c r="I45" s="11">
        <v>71.22</v>
      </c>
      <c r="J45" s="9" t="s">
        <v>43</v>
      </c>
      <c r="K45" s="9" t="s">
        <v>44</v>
      </c>
    </row>
    <row r="46" spans="1:11" x14ac:dyDescent="0.25">
      <c r="A46" s="8" t="s">
        <v>72</v>
      </c>
      <c r="B46" s="9" t="s">
        <v>73</v>
      </c>
      <c r="C46" s="9" t="s">
        <v>53</v>
      </c>
      <c r="D46" s="9" t="s">
        <v>41</v>
      </c>
      <c r="E46" s="10">
        <v>2000</v>
      </c>
      <c r="F46" s="10">
        <v>2002</v>
      </c>
      <c r="G46" s="9" t="s">
        <v>46</v>
      </c>
      <c r="H46" s="11">
        <v>103110.2</v>
      </c>
      <c r="I46" s="11">
        <v>51555.1</v>
      </c>
      <c r="J46" s="9" t="s">
        <v>43</v>
      </c>
      <c r="K46" s="9" t="s">
        <v>44</v>
      </c>
    </row>
    <row r="47" spans="1:11" x14ac:dyDescent="0.25">
      <c r="A47" s="8" t="s">
        <v>72</v>
      </c>
      <c r="B47" s="9" t="s">
        <v>73</v>
      </c>
      <c r="C47" s="9" t="s">
        <v>53</v>
      </c>
      <c r="D47" s="9" t="s">
        <v>41</v>
      </c>
      <c r="E47" s="10">
        <v>2000</v>
      </c>
      <c r="F47" s="10">
        <v>2002</v>
      </c>
      <c r="G47" s="9" t="s">
        <v>50</v>
      </c>
      <c r="H47" s="11">
        <v>4.58</v>
      </c>
      <c r="I47" s="11">
        <v>2.29</v>
      </c>
      <c r="J47" s="9" t="s">
        <v>43</v>
      </c>
      <c r="K47" s="9" t="s">
        <v>44</v>
      </c>
    </row>
    <row r="48" spans="1:11" x14ac:dyDescent="0.25">
      <c r="A48" s="8" t="s">
        <v>74</v>
      </c>
      <c r="B48" s="9" t="s">
        <v>75</v>
      </c>
      <c r="C48" s="9" t="s">
        <v>40</v>
      </c>
      <c r="D48" s="9" t="s">
        <v>41</v>
      </c>
      <c r="E48" s="10">
        <v>2000</v>
      </c>
      <c r="F48" s="10">
        <v>2002</v>
      </c>
      <c r="G48" s="9" t="s">
        <v>42</v>
      </c>
      <c r="H48" s="11">
        <v>14305.56</v>
      </c>
      <c r="I48" s="11">
        <v>7152.78</v>
      </c>
      <c r="J48" s="9" t="s">
        <v>43</v>
      </c>
      <c r="K48" s="9" t="s">
        <v>44</v>
      </c>
    </row>
    <row r="49" spans="1:11" x14ac:dyDescent="0.25">
      <c r="A49" s="8" t="s">
        <v>74</v>
      </c>
      <c r="B49" s="9" t="s">
        <v>75</v>
      </c>
      <c r="C49" s="9" t="s">
        <v>40</v>
      </c>
      <c r="D49" s="9" t="s">
        <v>41</v>
      </c>
      <c r="E49" s="10">
        <v>2000</v>
      </c>
      <c r="F49" s="10">
        <v>2002</v>
      </c>
      <c r="G49" s="9" t="s">
        <v>45</v>
      </c>
      <c r="H49" s="11">
        <v>26.19</v>
      </c>
      <c r="I49" s="11">
        <v>13.1</v>
      </c>
      <c r="J49" s="9" t="s">
        <v>43</v>
      </c>
      <c r="K49" s="9" t="s">
        <v>44</v>
      </c>
    </row>
    <row r="50" spans="1:11" x14ac:dyDescent="0.25">
      <c r="A50" s="8" t="s">
        <v>74</v>
      </c>
      <c r="B50" s="9" t="s">
        <v>75</v>
      </c>
      <c r="C50" s="9" t="s">
        <v>40</v>
      </c>
      <c r="D50" s="9" t="s">
        <v>41</v>
      </c>
      <c r="E50" s="10">
        <v>2000</v>
      </c>
      <c r="F50" s="10">
        <v>2002</v>
      </c>
      <c r="G50" s="9" t="s">
        <v>46</v>
      </c>
      <c r="H50" s="11">
        <v>29043.09</v>
      </c>
      <c r="I50" s="11">
        <v>14521.54</v>
      </c>
      <c r="J50" s="9" t="s">
        <v>43</v>
      </c>
      <c r="K50" s="9" t="s">
        <v>44</v>
      </c>
    </row>
    <row r="51" spans="1:11" x14ac:dyDescent="0.25">
      <c r="A51" s="8" t="s">
        <v>74</v>
      </c>
      <c r="B51" s="9" t="s">
        <v>75</v>
      </c>
      <c r="C51" s="9" t="s">
        <v>40</v>
      </c>
      <c r="D51" s="9" t="s">
        <v>41</v>
      </c>
      <c r="E51" s="10">
        <v>2000</v>
      </c>
      <c r="F51" s="10">
        <v>2002</v>
      </c>
      <c r="G51" s="9" t="s">
        <v>50</v>
      </c>
      <c r="H51" s="11">
        <v>2.86</v>
      </c>
      <c r="I51" s="11">
        <v>1.43</v>
      </c>
      <c r="J51" s="9" t="s">
        <v>43</v>
      </c>
      <c r="K51" s="9" t="s">
        <v>44</v>
      </c>
    </row>
    <row r="52" spans="1:11" x14ac:dyDescent="0.25">
      <c r="A52" s="8" t="s">
        <v>76</v>
      </c>
      <c r="B52" s="9" t="s">
        <v>77</v>
      </c>
      <c r="C52" s="9" t="s">
        <v>53</v>
      </c>
      <c r="D52" s="9" t="s">
        <v>41</v>
      </c>
      <c r="E52" s="10">
        <v>2000</v>
      </c>
      <c r="F52" s="10">
        <v>2002</v>
      </c>
      <c r="G52" s="9" t="s">
        <v>42</v>
      </c>
      <c r="H52" s="11">
        <v>243.83</v>
      </c>
      <c r="I52" s="11">
        <v>121.92</v>
      </c>
      <c r="J52" s="9" t="s">
        <v>43</v>
      </c>
      <c r="K52" s="9" t="s">
        <v>44</v>
      </c>
    </row>
    <row r="53" spans="1:11" x14ac:dyDescent="0.25">
      <c r="A53" s="8" t="s">
        <v>76</v>
      </c>
      <c r="B53" s="9" t="s">
        <v>77</v>
      </c>
      <c r="C53" s="9" t="s">
        <v>53</v>
      </c>
      <c r="D53" s="9" t="s">
        <v>41</v>
      </c>
      <c r="E53" s="10">
        <v>2000</v>
      </c>
      <c r="F53" s="10">
        <v>2002</v>
      </c>
      <c r="G53" s="9" t="s">
        <v>46</v>
      </c>
      <c r="H53" s="11">
        <v>24871.48</v>
      </c>
      <c r="I53" s="11">
        <v>12435.74</v>
      </c>
      <c r="J53" s="9" t="s">
        <v>43</v>
      </c>
      <c r="K53" s="9" t="s">
        <v>44</v>
      </c>
    </row>
    <row r="54" spans="1:11" x14ac:dyDescent="0.25">
      <c r="A54" s="8" t="s">
        <v>76</v>
      </c>
      <c r="B54" s="9" t="s">
        <v>77</v>
      </c>
      <c r="C54" s="9" t="s">
        <v>53</v>
      </c>
      <c r="D54" s="9" t="s">
        <v>41</v>
      </c>
      <c r="E54" s="10">
        <v>2000</v>
      </c>
      <c r="F54" s="10">
        <v>2002</v>
      </c>
      <c r="G54" s="9" t="s">
        <v>50</v>
      </c>
      <c r="H54" s="11">
        <v>18.63</v>
      </c>
      <c r="I54" s="11">
        <v>9.32</v>
      </c>
      <c r="J54" s="9" t="s">
        <v>43</v>
      </c>
      <c r="K54" s="9" t="s">
        <v>44</v>
      </c>
    </row>
    <row r="55" spans="1:11" x14ac:dyDescent="0.25">
      <c r="A55" s="8" t="s">
        <v>78</v>
      </c>
      <c r="B55" s="9" t="s">
        <v>79</v>
      </c>
      <c r="C55" s="9" t="s">
        <v>53</v>
      </c>
      <c r="D55" s="9" t="s">
        <v>41</v>
      </c>
      <c r="E55" s="10">
        <v>2000</v>
      </c>
      <c r="F55" s="10">
        <v>2002</v>
      </c>
      <c r="G55" s="9" t="s">
        <v>42</v>
      </c>
      <c r="H55" s="11">
        <v>1530.87</v>
      </c>
      <c r="I55" s="11">
        <v>765.44</v>
      </c>
      <c r="J55" s="9" t="s">
        <v>43</v>
      </c>
      <c r="K55" s="9" t="s">
        <v>44</v>
      </c>
    </row>
    <row r="56" spans="1:11" x14ac:dyDescent="0.25">
      <c r="A56" s="8" t="s">
        <v>78</v>
      </c>
      <c r="B56" s="9" t="s">
        <v>79</v>
      </c>
      <c r="C56" s="9" t="s">
        <v>53</v>
      </c>
      <c r="D56" s="9" t="s">
        <v>41</v>
      </c>
      <c r="E56" s="10">
        <v>2000</v>
      </c>
      <c r="F56" s="10">
        <v>2002</v>
      </c>
      <c r="G56" s="9" t="s">
        <v>45</v>
      </c>
      <c r="H56" s="11">
        <v>0.79</v>
      </c>
      <c r="I56" s="11">
        <v>0.4</v>
      </c>
      <c r="J56" s="9" t="s">
        <v>43</v>
      </c>
      <c r="K56" s="9" t="s">
        <v>44</v>
      </c>
    </row>
    <row r="57" spans="1:11" x14ac:dyDescent="0.25">
      <c r="A57" s="8" t="s">
        <v>78</v>
      </c>
      <c r="B57" s="9" t="s">
        <v>79</v>
      </c>
      <c r="C57" s="9" t="s">
        <v>53</v>
      </c>
      <c r="D57" s="9" t="s">
        <v>41</v>
      </c>
      <c r="E57" s="10">
        <v>2000</v>
      </c>
      <c r="F57" s="10">
        <v>2002</v>
      </c>
      <c r="G57" s="9" t="s">
        <v>46</v>
      </c>
      <c r="H57" s="11">
        <v>55071.13</v>
      </c>
      <c r="I57" s="11">
        <v>27535.56</v>
      </c>
      <c r="J57" s="9" t="s">
        <v>43</v>
      </c>
      <c r="K57" s="9" t="s">
        <v>44</v>
      </c>
    </row>
    <row r="58" spans="1:11" x14ac:dyDescent="0.25">
      <c r="A58" s="8" t="s">
        <v>80</v>
      </c>
      <c r="B58" s="9" t="s">
        <v>81</v>
      </c>
      <c r="C58" s="9" t="s">
        <v>49</v>
      </c>
      <c r="D58" s="9" t="s">
        <v>41</v>
      </c>
      <c r="E58" s="10">
        <v>2000</v>
      </c>
      <c r="F58" s="10">
        <v>2002</v>
      </c>
      <c r="G58" s="9" t="s">
        <v>42</v>
      </c>
      <c r="H58" s="11">
        <v>74841.490000000005</v>
      </c>
      <c r="I58" s="11">
        <v>37420.75</v>
      </c>
      <c r="J58" s="9" t="s">
        <v>43</v>
      </c>
      <c r="K58" s="9" t="s">
        <v>44</v>
      </c>
    </row>
    <row r="59" spans="1:11" x14ac:dyDescent="0.25">
      <c r="A59" s="8" t="s">
        <v>80</v>
      </c>
      <c r="B59" s="9" t="s">
        <v>81</v>
      </c>
      <c r="C59" s="9" t="s">
        <v>49</v>
      </c>
      <c r="D59" s="9" t="s">
        <v>41</v>
      </c>
      <c r="E59" s="10">
        <v>2000</v>
      </c>
      <c r="F59" s="10">
        <v>2002</v>
      </c>
      <c r="G59" s="9" t="s">
        <v>45</v>
      </c>
      <c r="H59" s="11">
        <v>153.08000000000001</v>
      </c>
      <c r="I59" s="11">
        <v>76.540000000000006</v>
      </c>
      <c r="J59" s="9" t="s">
        <v>43</v>
      </c>
      <c r="K59" s="9" t="s">
        <v>44</v>
      </c>
    </row>
    <row r="60" spans="1:11" x14ac:dyDescent="0.25">
      <c r="A60" s="8" t="s">
        <v>80</v>
      </c>
      <c r="B60" s="9" t="s">
        <v>81</v>
      </c>
      <c r="C60" s="9" t="s">
        <v>49</v>
      </c>
      <c r="D60" s="9" t="s">
        <v>41</v>
      </c>
      <c r="E60" s="10">
        <v>2000</v>
      </c>
      <c r="F60" s="10">
        <v>2002</v>
      </c>
      <c r="G60" s="9" t="s">
        <v>46</v>
      </c>
      <c r="H60" s="11">
        <v>214333.41</v>
      </c>
      <c r="I60" s="11">
        <v>107166.7</v>
      </c>
      <c r="J60" s="9" t="s">
        <v>43</v>
      </c>
      <c r="K60" s="9" t="s">
        <v>44</v>
      </c>
    </row>
    <row r="61" spans="1:11" x14ac:dyDescent="0.25">
      <c r="A61" s="8" t="s">
        <v>80</v>
      </c>
      <c r="B61" s="9" t="s">
        <v>81</v>
      </c>
      <c r="C61" s="9" t="s">
        <v>49</v>
      </c>
      <c r="D61" s="9" t="s">
        <v>41</v>
      </c>
      <c r="E61" s="10">
        <v>2000</v>
      </c>
      <c r="F61" s="10">
        <v>2002</v>
      </c>
      <c r="G61" s="9" t="s">
        <v>50</v>
      </c>
      <c r="H61" s="11">
        <v>51.32</v>
      </c>
      <c r="I61" s="11">
        <v>25.66</v>
      </c>
      <c r="J61" s="9" t="s">
        <v>43</v>
      </c>
      <c r="K61" s="9" t="s">
        <v>44</v>
      </c>
    </row>
    <row r="62" spans="1:11" x14ac:dyDescent="0.25">
      <c r="A62" s="8" t="s">
        <v>82</v>
      </c>
      <c r="B62" s="9" t="s">
        <v>83</v>
      </c>
      <c r="C62" s="9" t="s">
        <v>40</v>
      </c>
      <c r="D62" s="9" t="s">
        <v>41</v>
      </c>
      <c r="E62" s="10">
        <v>2000</v>
      </c>
      <c r="F62" s="10">
        <v>2002</v>
      </c>
      <c r="G62" s="9" t="s">
        <v>42</v>
      </c>
      <c r="H62" s="11">
        <v>4638.42</v>
      </c>
      <c r="I62" s="11">
        <v>2319.21</v>
      </c>
      <c r="J62" s="9" t="s">
        <v>43</v>
      </c>
      <c r="K62" s="9" t="s">
        <v>44</v>
      </c>
    </row>
    <row r="63" spans="1:11" x14ac:dyDescent="0.25">
      <c r="A63" s="8" t="s">
        <v>82</v>
      </c>
      <c r="B63" s="9" t="s">
        <v>83</v>
      </c>
      <c r="C63" s="9" t="s">
        <v>40</v>
      </c>
      <c r="D63" s="9" t="s">
        <v>41</v>
      </c>
      <c r="E63" s="10">
        <v>2000</v>
      </c>
      <c r="F63" s="10">
        <v>2002</v>
      </c>
      <c r="G63" s="9" t="s">
        <v>45</v>
      </c>
      <c r="H63" s="11">
        <v>17</v>
      </c>
      <c r="I63" s="11">
        <v>8.5</v>
      </c>
      <c r="J63" s="9" t="s">
        <v>43</v>
      </c>
      <c r="K63" s="9" t="s">
        <v>44</v>
      </c>
    </row>
    <row r="64" spans="1:11" x14ac:dyDescent="0.25">
      <c r="A64" s="8" t="s">
        <v>82</v>
      </c>
      <c r="B64" s="9" t="s">
        <v>83</v>
      </c>
      <c r="C64" s="9" t="s">
        <v>40</v>
      </c>
      <c r="D64" s="9" t="s">
        <v>41</v>
      </c>
      <c r="E64" s="10">
        <v>2000</v>
      </c>
      <c r="F64" s="10">
        <v>2002</v>
      </c>
      <c r="G64" s="9" t="s">
        <v>46</v>
      </c>
      <c r="H64" s="11">
        <v>21938.28</v>
      </c>
      <c r="I64" s="11">
        <v>10969.14</v>
      </c>
      <c r="J64" s="9" t="s">
        <v>43</v>
      </c>
      <c r="K64" s="9" t="s">
        <v>44</v>
      </c>
    </row>
    <row r="65" spans="1:11" x14ac:dyDescent="0.25">
      <c r="A65" s="8" t="s">
        <v>84</v>
      </c>
      <c r="B65" s="9" t="s">
        <v>85</v>
      </c>
      <c r="C65" s="9" t="s">
        <v>85</v>
      </c>
      <c r="D65" s="9" t="s">
        <v>41</v>
      </c>
      <c r="E65" s="10">
        <v>2000</v>
      </c>
      <c r="F65" s="10">
        <v>2002</v>
      </c>
      <c r="G65" s="9" t="s">
        <v>42</v>
      </c>
      <c r="H65" s="11">
        <v>169147.51</v>
      </c>
      <c r="I65" s="11">
        <v>84573.759999999995</v>
      </c>
      <c r="J65" s="9" t="s">
        <v>43</v>
      </c>
      <c r="K65" s="9" t="s">
        <v>44</v>
      </c>
    </row>
    <row r="66" spans="1:11" x14ac:dyDescent="0.25">
      <c r="A66" s="8" t="s">
        <v>84</v>
      </c>
      <c r="B66" s="9" t="s">
        <v>85</v>
      </c>
      <c r="C66" s="9" t="s">
        <v>85</v>
      </c>
      <c r="D66" s="9" t="s">
        <v>41</v>
      </c>
      <c r="E66" s="10">
        <v>2000</v>
      </c>
      <c r="F66" s="10">
        <v>2002</v>
      </c>
      <c r="G66" s="9" t="s">
        <v>45</v>
      </c>
      <c r="H66" s="11">
        <v>482.46</v>
      </c>
      <c r="I66" s="11">
        <v>241.23</v>
      </c>
      <c r="J66" s="9" t="s">
        <v>43</v>
      </c>
      <c r="K66" s="9" t="s">
        <v>44</v>
      </c>
    </row>
    <row r="67" spans="1:11" x14ac:dyDescent="0.25">
      <c r="A67" s="8" t="s">
        <v>84</v>
      </c>
      <c r="B67" s="9" t="s">
        <v>85</v>
      </c>
      <c r="C67" s="9" t="s">
        <v>85</v>
      </c>
      <c r="D67" s="9" t="s">
        <v>41</v>
      </c>
      <c r="E67" s="10">
        <v>2000</v>
      </c>
      <c r="F67" s="10">
        <v>2002</v>
      </c>
      <c r="G67" s="9" t="s">
        <v>46</v>
      </c>
      <c r="H67" s="11">
        <v>77245.36</v>
      </c>
      <c r="I67" s="11">
        <v>38622.68</v>
      </c>
      <c r="J67" s="9" t="s">
        <v>43</v>
      </c>
      <c r="K67" s="9" t="s">
        <v>44</v>
      </c>
    </row>
    <row r="68" spans="1:11" x14ac:dyDescent="0.25">
      <c r="A68" s="8" t="s">
        <v>84</v>
      </c>
      <c r="B68" s="9" t="s">
        <v>85</v>
      </c>
      <c r="C68" s="9" t="s">
        <v>85</v>
      </c>
      <c r="D68" s="9" t="s">
        <v>41</v>
      </c>
      <c r="E68" s="10">
        <v>2000</v>
      </c>
      <c r="F68" s="10">
        <v>2002</v>
      </c>
      <c r="G68" s="9" t="s">
        <v>64</v>
      </c>
      <c r="H68" s="11">
        <v>427.94</v>
      </c>
      <c r="I68" s="11">
        <v>213.97</v>
      </c>
      <c r="J68" s="9" t="s">
        <v>43</v>
      </c>
      <c r="K68" s="9" t="s">
        <v>44</v>
      </c>
    </row>
    <row r="69" spans="1:11" x14ac:dyDescent="0.25">
      <c r="A69" s="8" t="s">
        <v>84</v>
      </c>
      <c r="B69" s="9" t="s">
        <v>85</v>
      </c>
      <c r="C69" s="9" t="s">
        <v>85</v>
      </c>
      <c r="D69" s="9" t="s">
        <v>41</v>
      </c>
      <c r="E69" s="10">
        <v>2000</v>
      </c>
      <c r="F69" s="10">
        <v>2002</v>
      </c>
      <c r="G69" s="9" t="s">
        <v>50</v>
      </c>
      <c r="H69" s="11">
        <v>7320</v>
      </c>
      <c r="I69" s="11">
        <v>3660</v>
      </c>
      <c r="J69" s="9" t="s">
        <v>43</v>
      </c>
      <c r="K69" s="9" t="s">
        <v>44</v>
      </c>
    </row>
    <row r="70" spans="1:11" x14ac:dyDescent="0.25">
      <c r="A70" s="8" t="s">
        <v>86</v>
      </c>
      <c r="B70" s="9" t="s">
        <v>87</v>
      </c>
      <c r="C70" s="9" t="s">
        <v>69</v>
      </c>
      <c r="D70" s="9" t="s">
        <v>41</v>
      </c>
      <c r="E70" s="10">
        <v>2000</v>
      </c>
      <c r="F70" s="10">
        <v>2002</v>
      </c>
      <c r="G70" s="9" t="s">
        <v>42</v>
      </c>
      <c r="H70" s="11">
        <v>141239.81</v>
      </c>
      <c r="I70" s="11">
        <v>70619.899999999994</v>
      </c>
      <c r="J70" s="9" t="s">
        <v>43</v>
      </c>
      <c r="K70" s="9" t="s">
        <v>44</v>
      </c>
    </row>
    <row r="71" spans="1:11" x14ac:dyDescent="0.25">
      <c r="A71" s="8" t="s">
        <v>86</v>
      </c>
      <c r="B71" s="9" t="s">
        <v>87</v>
      </c>
      <c r="C71" s="9" t="s">
        <v>69</v>
      </c>
      <c r="D71" s="9" t="s">
        <v>41</v>
      </c>
      <c r="E71" s="10">
        <v>2000</v>
      </c>
      <c r="F71" s="10">
        <v>2002</v>
      </c>
      <c r="G71" s="9" t="s">
        <v>45</v>
      </c>
      <c r="H71" s="11">
        <v>125.38</v>
      </c>
      <c r="I71" s="11">
        <v>62.69</v>
      </c>
      <c r="J71" s="9" t="s">
        <v>43</v>
      </c>
      <c r="K71" s="9" t="s">
        <v>44</v>
      </c>
    </row>
    <row r="72" spans="1:11" x14ac:dyDescent="0.25">
      <c r="A72" s="8" t="s">
        <v>86</v>
      </c>
      <c r="B72" s="9" t="s">
        <v>87</v>
      </c>
      <c r="C72" s="9" t="s">
        <v>69</v>
      </c>
      <c r="D72" s="9" t="s">
        <v>41</v>
      </c>
      <c r="E72" s="10">
        <v>2000</v>
      </c>
      <c r="F72" s="10">
        <v>2002</v>
      </c>
      <c r="G72" s="9" t="s">
        <v>46</v>
      </c>
      <c r="H72" s="11">
        <v>16115.37</v>
      </c>
      <c r="I72" s="11">
        <v>8057.68</v>
      </c>
      <c r="J72" s="9" t="s">
        <v>43</v>
      </c>
      <c r="K72" s="9" t="s">
        <v>44</v>
      </c>
    </row>
    <row r="73" spans="1:11" x14ac:dyDescent="0.25">
      <c r="A73" s="8" t="s">
        <v>86</v>
      </c>
      <c r="B73" s="9" t="s">
        <v>87</v>
      </c>
      <c r="C73" s="9" t="s">
        <v>69</v>
      </c>
      <c r="D73" s="9" t="s">
        <v>41</v>
      </c>
      <c r="E73" s="10">
        <v>2000</v>
      </c>
      <c r="F73" s="10">
        <v>2002</v>
      </c>
      <c r="G73" s="9" t="s">
        <v>64</v>
      </c>
      <c r="H73" s="11">
        <v>17.29</v>
      </c>
      <c r="I73" s="11">
        <v>8.64</v>
      </c>
      <c r="J73" s="9" t="s">
        <v>43</v>
      </c>
      <c r="K73" s="9" t="s">
        <v>44</v>
      </c>
    </row>
    <row r="74" spans="1:11" x14ac:dyDescent="0.25">
      <c r="A74" s="8" t="s">
        <v>86</v>
      </c>
      <c r="B74" s="9" t="s">
        <v>87</v>
      </c>
      <c r="C74" s="9" t="s">
        <v>69</v>
      </c>
      <c r="D74" s="9" t="s">
        <v>41</v>
      </c>
      <c r="E74" s="10">
        <v>2000</v>
      </c>
      <c r="F74" s="10">
        <v>2002</v>
      </c>
      <c r="G74" s="9" t="s">
        <v>50</v>
      </c>
      <c r="H74" s="11">
        <v>8359.19</v>
      </c>
      <c r="I74" s="11">
        <v>4179.6000000000004</v>
      </c>
      <c r="J74" s="9" t="s">
        <v>43</v>
      </c>
      <c r="K74" s="9" t="s">
        <v>44</v>
      </c>
    </row>
    <row r="75" spans="1:11" x14ac:dyDescent="0.25">
      <c r="A75" s="8" t="s">
        <v>38</v>
      </c>
      <c r="B75" s="9" t="s">
        <v>39</v>
      </c>
      <c r="C75" s="9" t="s">
        <v>40</v>
      </c>
      <c r="D75" s="9" t="s">
        <v>88</v>
      </c>
      <c r="E75" s="10">
        <v>2002</v>
      </c>
      <c r="F75" s="10">
        <v>2004</v>
      </c>
      <c r="G75" s="9" t="s">
        <v>42</v>
      </c>
      <c r="H75" s="11">
        <v>13395.8</v>
      </c>
      <c r="I75" s="11">
        <v>6697.9</v>
      </c>
      <c r="J75" s="9" t="s">
        <v>89</v>
      </c>
      <c r="K75" s="9" t="s">
        <v>44</v>
      </c>
    </row>
    <row r="76" spans="1:11" x14ac:dyDescent="0.25">
      <c r="A76" s="8" t="s">
        <v>38</v>
      </c>
      <c r="B76" s="9" t="s">
        <v>39</v>
      </c>
      <c r="C76" s="9" t="s">
        <v>40</v>
      </c>
      <c r="D76" s="9" t="s">
        <v>88</v>
      </c>
      <c r="E76" s="10">
        <v>2002</v>
      </c>
      <c r="F76" s="10">
        <v>2004</v>
      </c>
      <c r="G76" s="9" t="s">
        <v>45</v>
      </c>
      <c r="H76" s="11">
        <v>8.99</v>
      </c>
      <c r="I76" s="11">
        <v>4.5</v>
      </c>
      <c r="J76" s="9" t="s">
        <v>89</v>
      </c>
      <c r="K76" s="9" t="s">
        <v>44</v>
      </c>
    </row>
    <row r="77" spans="1:11" x14ac:dyDescent="0.25">
      <c r="A77" s="8" t="s">
        <v>38</v>
      </c>
      <c r="B77" s="9" t="s">
        <v>39</v>
      </c>
      <c r="C77" s="9" t="s">
        <v>40</v>
      </c>
      <c r="D77" s="9" t="s">
        <v>88</v>
      </c>
      <c r="E77" s="10">
        <v>2002</v>
      </c>
      <c r="F77" s="10">
        <v>2004</v>
      </c>
      <c r="G77" s="9" t="s">
        <v>46</v>
      </c>
      <c r="H77" s="11">
        <v>16258.2</v>
      </c>
      <c r="I77" s="11">
        <v>8129.1</v>
      </c>
      <c r="J77" s="9" t="s">
        <v>89</v>
      </c>
      <c r="K77" s="9" t="s">
        <v>44</v>
      </c>
    </row>
    <row r="78" spans="1:11" x14ac:dyDescent="0.25">
      <c r="A78" s="8" t="s">
        <v>47</v>
      </c>
      <c r="B78" s="9" t="s">
        <v>48</v>
      </c>
      <c r="C78" s="9" t="s">
        <v>49</v>
      </c>
      <c r="D78" s="9" t="s">
        <v>88</v>
      </c>
      <c r="E78" s="10">
        <v>2002</v>
      </c>
      <c r="F78" s="10">
        <v>2004</v>
      </c>
      <c r="G78" s="9" t="s">
        <v>42</v>
      </c>
      <c r="H78" s="11">
        <v>17674.259999999998</v>
      </c>
      <c r="I78" s="11">
        <v>8837.1299999999992</v>
      </c>
      <c r="J78" s="9" t="s">
        <v>89</v>
      </c>
      <c r="K78" s="9" t="s">
        <v>44</v>
      </c>
    </row>
    <row r="79" spans="1:11" x14ac:dyDescent="0.25">
      <c r="A79" s="8" t="s">
        <v>47</v>
      </c>
      <c r="B79" s="9" t="s">
        <v>48</v>
      </c>
      <c r="C79" s="9" t="s">
        <v>49</v>
      </c>
      <c r="D79" s="9" t="s">
        <v>88</v>
      </c>
      <c r="E79" s="10">
        <v>2002</v>
      </c>
      <c r="F79" s="10">
        <v>2004</v>
      </c>
      <c r="G79" s="9" t="s">
        <v>45</v>
      </c>
      <c r="H79" s="11">
        <v>40.270000000000003</v>
      </c>
      <c r="I79" s="11">
        <v>20.14</v>
      </c>
      <c r="J79" s="9" t="s">
        <v>89</v>
      </c>
      <c r="K79" s="9" t="s">
        <v>44</v>
      </c>
    </row>
    <row r="80" spans="1:11" x14ac:dyDescent="0.25">
      <c r="A80" s="8" t="s">
        <v>47</v>
      </c>
      <c r="B80" s="9" t="s">
        <v>48</v>
      </c>
      <c r="C80" s="9" t="s">
        <v>49</v>
      </c>
      <c r="D80" s="9" t="s">
        <v>88</v>
      </c>
      <c r="E80" s="10">
        <v>2002</v>
      </c>
      <c r="F80" s="10">
        <v>2004</v>
      </c>
      <c r="G80" s="9" t="s">
        <v>46</v>
      </c>
      <c r="H80" s="11">
        <v>35282.730000000003</v>
      </c>
      <c r="I80" s="11">
        <v>17641.37</v>
      </c>
      <c r="J80" s="9" t="s">
        <v>89</v>
      </c>
      <c r="K80" s="9" t="s">
        <v>44</v>
      </c>
    </row>
    <row r="81" spans="1:11" x14ac:dyDescent="0.25">
      <c r="A81" s="8" t="s">
        <v>47</v>
      </c>
      <c r="B81" s="9" t="s">
        <v>48</v>
      </c>
      <c r="C81" s="9" t="s">
        <v>49</v>
      </c>
      <c r="D81" s="9" t="s">
        <v>88</v>
      </c>
      <c r="E81" s="10">
        <v>2002</v>
      </c>
      <c r="F81" s="10">
        <v>2004</v>
      </c>
      <c r="G81" s="9" t="s">
        <v>50</v>
      </c>
      <c r="H81" s="11">
        <v>284.07</v>
      </c>
      <c r="I81" s="11">
        <v>142.04</v>
      </c>
      <c r="J81" s="9" t="s">
        <v>89</v>
      </c>
      <c r="K81" s="9" t="s">
        <v>44</v>
      </c>
    </row>
    <row r="82" spans="1:11" x14ac:dyDescent="0.25">
      <c r="A82" s="8" t="s">
        <v>51</v>
      </c>
      <c r="B82" s="9" t="s">
        <v>52</v>
      </c>
      <c r="C82" s="9" t="s">
        <v>53</v>
      </c>
      <c r="D82" s="9" t="s">
        <v>88</v>
      </c>
      <c r="E82" s="10">
        <v>2002</v>
      </c>
      <c r="F82" s="10">
        <v>2004</v>
      </c>
      <c r="G82" s="9" t="s">
        <v>42</v>
      </c>
      <c r="H82" s="11">
        <v>1227.54</v>
      </c>
      <c r="I82" s="11">
        <v>613.77</v>
      </c>
      <c r="J82" s="9" t="s">
        <v>89</v>
      </c>
      <c r="K82" s="9" t="s">
        <v>44</v>
      </c>
    </row>
    <row r="83" spans="1:11" x14ac:dyDescent="0.25">
      <c r="A83" s="8" t="s">
        <v>51</v>
      </c>
      <c r="B83" s="9" t="s">
        <v>52</v>
      </c>
      <c r="C83" s="9" t="s">
        <v>53</v>
      </c>
      <c r="D83" s="9" t="s">
        <v>88</v>
      </c>
      <c r="E83" s="10">
        <v>2002</v>
      </c>
      <c r="F83" s="10">
        <v>2004</v>
      </c>
      <c r="G83" s="9" t="s">
        <v>45</v>
      </c>
      <c r="H83" s="11">
        <v>6.56</v>
      </c>
      <c r="I83" s="11">
        <v>3.28</v>
      </c>
      <c r="J83" s="9" t="s">
        <v>89</v>
      </c>
      <c r="K83" s="9" t="s">
        <v>44</v>
      </c>
    </row>
    <row r="84" spans="1:11" x14ac:dyDescent="0.25">
      <c r="A84" s="8" t="s">
        <v>51</v>
      </c>
      <c r="B84" s="9" t="s">
        <v>52</v>
      </c>
      <c r="C84" s="9" t="s">
        <v>53</v>
      </c>
      <c r="D84" s="9" t="s">
        <v>88</v>
      </c>
      <c r="E84" s="10">
        <v>2002</v>
      </c>
      <c r="F84" s="10">
        <v>2004</v>
      </c>
      <c r="G84" s="9" t="s">
        <v>46</v>
      </c>
      <c r="H84" s="11">
        <v>72830.89</v>
      </c>
      <c r="I84" s="11">
        <v>36415.440000000002</v>
      </c>
      <c r="J84" s="9" t="s">
        <v>89</v>
      </c>
      <c r="K84" s="9" t="s">
        <v>44</v>
      </c>
    </row>
    <row r="85" spans="1:11" x14ac:dyDescent="0.25">
      <c r="A85" s="8" t="s">
        <v>54</v>
      </c>
      <c r="B85" s="9" t="s">
        <v>55</v>
      </c>
      <c r="C85" s="9" t="s">
        <v>49</v>
      </c>
      <c r="D85" s="9" t="s">
        <v>88</v>
      </c>
      <c r="E85" s="10">
        <v>2002</v>
      </c>
      <c r="F85" s="10">
        <v>2004</v>
      </c>
      <c r="G85" s="9" t="s">
        <v>42</v>
      </c>
      <c r="H85" s="11">
        <v>6617.23</v>
      </c>
      <c r="I85" s="11">
        <v>3308.62</v>
      </c>
      <c r="J85" s="9" t="s">
        <v>89</v>
      </c>
      <c r="K85" s="9" t="s">
        <v>44</v>
      </c>
    </row>
    <row r="86" spans="1:11" x14ac:dyDescent="0.25">
      <c r="A86" s="8" t="s">
        <v>54</v>
      </c>
      <c r="B86" s="9" t="s">
        <v>55</v>
      </c>
      <c r="C86" s="9" t="s">
        <v>49</v>
      </c>
      <c r="D86" s="9" t="s">
        <v>88</v>
      </c>
      <c r="E86" s="10">
        <v>2002</v>
      </c>
      <c r="F86" s="10">
        <v>2004</v>
      </c>
      <c r="G86" s="9" t="s">
        <v>45</v>
      </c>
      <c r="H86" s="11">
        <v>269.2</v>
      </c>
      <c r="I86" s="11">
        <v>134.6</v>
      </c>
      <c r="J86" s="9" t="s">
        <v>89</v>
      </c>
      <c r="K86" s="9" t="s">
        <v>44</v>
      </c>
    </row>
    <row r="87" spans="1:11" x14ac:dyDescent="0.25">
      <c r="A87" s="8" t="s">
        <v>54</v>
      </c>
      <c r="B87" s="9" t="s">
        <v>55</v>
      </c>
      <c r="C87" s="9" t="s">
        <v>49</v>
      </c>
      <c r="D87" s="9" t="s">
        <v>88</v>
      </c>
      <c r="E87" s="10">
        <v>2002</v>
      </c>
      <c r="F87" s="10">
        <v>2004</v>
      </c>
      <c r="G87" s="9" t="s">
        <v>46</v>
      </c>
      <c r="H87" s="11">
        <v>31349.200000000001</v>
      </c>
      <c r="I87" s="11">
        <v>15674.6</v>
      </c>
      <c r="J87" s="9" t="s">
        <v>89</v>
      </c>
      <c r="K87" s="9" t="s">
        <v>44</v>
      </c>
    </row>
    <row r="88" spans="1:11" x14ac:dyDescent="0.25">
      <c r="A88" s="8" t="s">
        <v>54</v>
      </c>
      <c r="B88" s="9" t="s">
        <v>55</v>
      </c>
      <c r="C88" s="9" t="s">
        <v>49</v>
      </c>
      <c r="D88" s="9" t="s">
        <v>88</v>
      </c>
      <c r="E88" s="10">
        <v>2002</v>
      </c>
      <c r="F88" s="10">
        <v>2004</v>
      </c>
      <c r="G88" s="9" t="s">
        <v>50</v>
      </c>
      <c r="H88" s="11">
        <v>127.79</v>
      </c>
      <c r="I88" s="11">
        <v>63.9</v>
      </c>
      <c r="J88" s="9" t="s">
        <v>89</v>
      </c>
      <c r="K88" s="9" t="s">
        <v>44</v>
      </c>
    </row>
    <row r="89" spans="1:11" x14ac:dyDescent="0.25">
      <c r="A89" s="8" t="s">
        <v>56</v>
      </c>
      <c r="B89" s="9" t="s">
        <v>57</v>
      </c>
      <c r="C89" s="9" t="s">
        <v>40</v>
      </c>
      <c r="D89" s="9" t="s">
        <v>88</v>
      </c>
      <c r="E89" s="10">
        <v>2002</v>
      </c>
      <c r="F89" s="10">
        <v>2004</v>
      </c>
      <c r="G89" s="9" t="s">
        <v>42</v>
      </c>
      <c r="H89" s="11">
        <v>11919.07</v>
      </c>
      <c r="I89" s="11">
        <v>5959.54</v>
      </c>
      <c r="J89" s="9" t="s">
        <v>89</v>
      </c>
      <c r="K89" s="9" t="s">
        <v>44</v>
      </c>
    </row>
    <row r="90" spans="1:11" x14ac:dyDescent="0.25">
      <c r="A90" s="8" t="s">
        <v>56</v>
      </c>
      <c r="B90" s="9" t="s">
        <v>57</v>
      </c>
      <c r="C90" s="9" t="s">
        <v>40</v>
      </c>
      <c r="D90" s="9" t="s">
        <v>88</v>
      </c>
      <c r="E90" s="10">
        <v>2002</v>
      </c>
      <c r="F90" s="10">
        <v>2004</v>
      </c>
      <c r="G90" s="9" t="s">
        <v>45</v>
      </c>
      <c r="H90" s="11">
        <v>12.38</v>
      </c>
      <c r="I90" s="11">
        <v>6.19</v>
      </c>
      <c r="J90" s="9" t="s">
        <v>89</v>
      </c>
      <c r="K90" s="9" t="s">
        <v>44</v>
      </c>
    </row>
    <row r="91" spans="1:11" x14ac:dyDescent="0.25">
      <c r="A91" s="8" t="s">
        <v>56</v>
      </c>
      <c r="B91" s="9" t="s">
        <v>57</v>
      </c>
      <c r="C91" s="9" t="s">
        <v>40</v>
      </c>
      <c r="D91" s="9" t="s">
        <v>88</v>
      </c>
      <c r="E91" s="10">
        <v>2002</v>
      </c>
      <c r="F91" s="10">
        <v>2004</v>
      </c>
      <c r="G91" s="9" t="s">
        <v>46</v>
      </c>
      <c r="H91" s="11">
        <v>24513.72</v>
      </c>
      <c r="I91" s="11">
        <v>12256.86</v>
      </c>
      <c r="J91" s="9" t="s">
        <v>89</v>
      </c>
      <c r="K91" s="9" t="s">
        <v>44</v>
      </c>
    </row>
    <row r="92" spans="1:11" x14ac:dyDescent="0.25">
      <c r="A92" s="8" t="s">
        <v>58</v>
      </c>
      <c r="B92" s="9" t="s">
        <v>59</v>
      </c>
      <c r="C92" s="9" t="s">
        <v>49</v>
      </c>
      <c r="D92" s="9" t="s">
        <v>88</v>
      </c>
      <c r="E92" s="10">
        <v>2002</v>
      </c>
      <c r="F92" s="10">
        <v>2004</v>
      </c>
      <c r="G92" s="9" t="s">
        <v>42</v>
      </c>
      <c r="H92" s="11">
        <v>20957.849999999999</v>
      </c>
      <c r="I92" s="11">
        <v>10478.92</v>
      </c>
      <c r="J92" s="9" t="s">
        <v>89</v>
      </c>
      <c r="K92" s="9" t="s">
        <v>44</v>
      </c>
    </row>
    <row r="93" spans="1:11" x14ac:dyDescent="0.25">
      <c r="A93" s="8" t="s">
        <v>58</v>
      </c>
      <c r="B93" s="9" t="s">
        <v>59</v>
      </c>
      <c r="C93" s="9" t="s">
        <v>49</v>
      </c>
      <c r="D93" s="9" t="s">
        <v>88</v>
      </c>
      <c r="E93" s="10">
        <v>2002</v>
      </c>
      <c r="F93" s="10">
        <v>2004</v>
      </c>
      <c r="G93" s="9" t="s">
        <v>45</v>
      </c>
      <c r="H93" s="11">
        <v>325.17</v>
      </c>
      <c r="I93" s="11">
        <v>162.58000000000001</v>
      </c>
      <c r="J93" s="9" t="s">
        <v>89</v>
      </c>
      <c r="K93" s="9" t="s">
        <v>44</v>
      </c>
    </row>
    <row r="94" spans="1:11" x14ac:dyDescent="0.25">
      <c r="A94" s="8" t="s">
        <v>58</v>
      </c>
      <c r="B94" s="9" t="s">
        <v>59</v>
      </c>
      <c r="C94" s="9" t="s">
        <v>49</v>
      </c>
      <c r="D94" s="9" t="s">
        <v>88</v>
      </c>
      <c r="E94" s="10">
        <v>2002</v>
      </c>
      <c r="F94" s="10">
        <v>2004</v>
      </c>
      <c r="G94" s="9" t="s">
        <v>46</v>
      </c>
      <c r="H94" s="11">
        <v>48953.07</v>
      </c>
      <c r="I94" s="11">
        <v>24476.54</v>
      </c>
      <c r="J94" s="9" t="s">
        <v>89</v>
      </c>
      <c r="K94" s="9" t="s">
        <v>44</v>
      </c>
    </row>
    <row r="95" spans="1:11" x14ac:dyDescent="0.25">
      <c r="A95" s="8" t="s">
        <v>58</v>
      </c>
      <c r="B95" s="9" t="s">
        <v>59</v>
      </c>
      <c r="C95" s="9" t="s">
        <v>49</v>
      </c>
      <c r="D95" s="9" t="s">
        <v>88</v>
      </c>
      <c r="E95" s="10">
        <v>2002</v>
      </c>
      <c r="F95" s="10">
        <v>2004</v>
      </c>
      <c r="G95" s="9" t="s">
        <v>50</v>
      </c>
      <c r="H95" s="11">
        <v>225.33</v>
      </c>
      <c r="I95" s="11">
        <v>112.66</v>
      </c>
      <c r="J95" s="9" t="s">
        <v>89</v>
      </c>
      <c r="K95" s="9" t="s">
        <v>44</v>
      </c>
    </row>
    <row r="96" spans="1:11" x14ac:dyDescent="0.25">
      <c r="A96" s="8" t="s">
        <v>60</v>
      </c>
      <c r="B96" s="9" t="s">
        <v>61</v>
      </c>
      <c r="C96" s="9" t="s">
        <v>40</v>
      </c>
      <c r="D96" s="9" t="s">
        <v>88</v>
      </c>
      <c r="E96" s="10">
        <v>2002</v>
      </c>
      <c r="F96" s="10">
        <v>2004</v>
      </c>
      <c r="G96" s="9" t="s">
        <v>42</v>
      </c>
      <c r="H96" s="11">
        <v>142009.35</v>
      </c>
      <c r="I96" s="11">
        <v>71004.679999999993</v>
      </c>
      <c r="J96" s="9" t="s">
        <v>89</v>
      </c>
      <c r="K96" s="9" t="s">
        <v>44</v>
      </c>
    </row>
    <row r="97" spans="1:11" x14ac:dyDescent="0.25">
      <c r="A97" s="8" t="s">
        <v>60</v>
      </c>
      <c r="B97" s="9" t="s">
        <v>61</v>
      </c>
      <c r="C97" s="9" t="s">
        <v>40</v>
      </c>
      <c r="D97" s="9" t="s">
        <v>88</v>
      </c>
      <c r="E97" s="10">
        <v>2002</v>
      </c>
      <c r="F97" s="10">
        <v>2004</v>
      </c>
      <c r="G97" s="9" t="s">
        <v>45</v>
      </c>
      <c r="H97" s="11">
        <v>270.42</v>
      </c>
      <c r="I97" s="11">
        <v>135.21</v>
      </c>
      <c r="J97" s="9" t="s">
        <v>89</v>
      </c>
      <c r="K97" s="9" t="s">
        <v>44</v>
      </c>
    </row>
    <row r="98" spans="1:11" x14ac:dyDescent="0.25">
      <c r="A98" s="8" t="s">
        <v>60</v>
      </c>
      <c r="B98" s="9" t="s">
        <v>61</v>
      </c>
      <c r="C98" s="9" t="s">
        <v>40</v>
      </c>
      <c r="D98" s="9" t="s">
        <v>88</v>
      </c>
      <c r="E98" s="10">
        <v>2002</v>
      </c>
      <c r="F98" s="10">
        <v>2004</v>
      </c>
      <c r="G98" s="9" t="s">
        <v>46</v>
      </c>
      <c r="H98" s="11">
        <v>48744.41</v>
      </c>
      <c r="I98" s="11">
        <v>24372.2</v>
      </c>
      <c r="J98" s="9" t="s">
        <v>89</v>
      </c>
      <c r="K98" s="9" t="s">
        <v>44</v>
      </c>
    </row>
    <row r="99" spans="1:11" x14ac:dyDescent="0.25">
      <c r="A99" s="8" t="s">
        <v>60</v>
      </c>
      <c r="B99" s="9" t="s">
        <v>61</v>
      </c>
      <c r="C99" s="9" t="s">
        <v>40</v>
      </c>
      <c r="D99" s="9" t="s">
        <v>88</v>
      </c>
      <c r="E99" s="10">
        <v>2002</v>
      </c>
      <c r="F99" s="10">
        <v>2004</v>
      </c>
      <c r="G99" s="9" t="s">
        <v>50</v>
      </c>
      <c r="H99" s="11">
        <v>3897.7</v>
      </c>
      <c r="I99" s="11">
        <v>1948.85</v>
      </c>
      <c r="J99" s="9" t="s">
        <v>89</v>
      </c>
      <c r="K99" s="9" t="s">
        <v>44</v>
      </c>
    </row>
    <row r="100" spans="1:11" x14ac:dyDescent="0.25">
      <c r="A100" s="8" t="s">
        <v>62</v>
      </c>
      <c r="B100" s="9" t="s">
        <v>63</v>
      </c>
      <c r="C100" s="9" t="s">
        <v>40</v>
      </c>
      <c r="D100" s="9" t="s">
        <v>88</v>
      </c>
      <c r="E100" s="10">
        <v>2002</v>
      </c>
      <c r="F100" s="10">
        <v>2004</v>
      </c>
      <c r="G100" s="9" t="s">
        <v>42</v>
      </c>
      <c r="H100" s="11">
        <v>91470.75</v>
      </c>
      <c r="I100" s="11">
        <v>45735.38</v>
      </c>
      <c r="J100" s="9" t="s">
        <v>89</v>
      </c>
      <c r="K100" s="9" t="s">
        <v>44</v>
      </c>
    </row>
    <row r="101" spans="1:11" x14ac:dyDescent="0.25">
      <c r="A101" s="8" t="s">
        <v>62</v>
      </c>
      <c r="B101" s="9" t="s">
        <v>63</v>
      </c>
      <c r="C101" s="9" t="s">
        <v>40</v>
      </c>
      <c r="D101" s="9" t="s">
        <v>88</v>
      </c>
      <c r="E101" s="10">
        <v>2002</v>
      </c>
      <c r="F101" s="10">
        <v>2004</v>
      </c>
      <c r="G101" s="9" t="s">
        <v>45</v>
      </c>
      <c r="H101" s="11">
        <v>76.94</v>
      </c>
      <c r="I101" s="11">
        <v>38.47</v>
      </c>
      <c r="J101" s="9" t="s">
        <v>89</v>
      </c>
      <c r="K101" s="9" t="s">
        <v>44</v>
      </c>
    </row>
    <row r="102" spans="1:11" x14ac:dyDescent="0.25">
      <c r="A102" s="8" t="s">
        <v>62</v>
      </c>
      <c r="B102" s="9" t="s">
        <v>63</v>
      </c>
      <c r="C102" s="9" t="s">
        <v>40</v>
      </c>
      <c r="D102" s="9" t="s">
        <v>88</v>
      </c>
      <c r="E102" s="10">
        <v>2002</v>
      </c>
      <c r="F102" s="10">
        <v>2004</v>
      </c>
      <c r="G102" s="9" t="s">
        <v>46</v>
      </c>
      <c r="H102" s="11">
        <v>45103.37</v>
      </c>
      <c r="I102" s="11">
        <v>22551.68</v>
      </c>
      <c r="J102" s="9" t="s">
        <v>89</v>
      </c>
      <c r="K102" s="9" t="s">
        <v>44</v>
      </c>
    </row>
    <row r="103" spans="1:11" x14ac:dyDescent="0.25">
      <c r="A103" s="8" t="s">
        <v>62</v>
      </c>
      <c r="B103" s="9" t="s">
        <v>63</v>
      </c>
      <c r="C103" s="9" t="s">
        <v>40</v>
      </c>
      <c r="D103" s="9" t="s">
        <v>88</v>
      </c>
      <c r="E103" s="10">
        <v>2002</v>
      </c>
      <c r="F103" s="10">
        <v>2004</v>
      </c>
      <c r="G103" s="9" t="s">
        <v>50</v>
      </c>
      <c r="H103" s="11">
        <v>1574.39</v>
      </c>
      <c r="I103" s="11">
        <v>787.2</v>
      </c>
      <c r="J103" s="9" t="s">
        <v>89</v>
      </c>
      <c r="K103" s="9" t="s">
        <v>44</v>
      </c>
    </row>
    <row r="104" spans="1:11" x14ac:dyDescent="0.25">
      <c r="A104" s="8" t="s">
        <v>65</v>
      </c>
      <c r="B104" s="9" t="s">
        <v>66</v>
      </c>
      <c r="C104" s="9" t="s">
        <v>40</v>
      </c>
      <c r="D104" s="9" t="s">
        <v>88</v>
      </c>
      <c r="E104" s="10">
        <v>2002</v>
      </c>
      <c r="F104" s="10">
        <v>2004</v>
      </c>
      <c r="G104" s="9" t="s">
        <v>42</v>
      </c>
      <c r="H104" s="11">
        <v>1303.58</v>
      </c>
      <c r="I104" s="11">
        <v>651.79</v>
      </c>
      <c r="J104" s="9" t="s">
        <v>89</v>
      </c>
      <c r="K104" s="9" t="s">
        <v>44</v>
      </c>
    </row>
    <row r="105" spans="1:11" x14ac:dyDescent="0.25">
      <c r="A105" s="8" t="s">
        <v>65</v>
      </c>
      <c r="B105" s="9" t="s">
        <v>66</v>
      </c>
      <c r="C105" s="9" t="s">
        <v>40</v>
      </c>
      <c r="D105" s="9" t="s">
        <v>88</v>
      </c>
      <c r="E105" s="10">
        <v>2002</v>
      </c>
      <c r="F105" s="10">
        <v>2004</v>
      </c>
      <c r="G105" s="9" t="s">
        <v>46</v>
      </c>
      <c r="H105" s="11">
        <v>8028.42</v>
      </c>
      <c r="I105" s="11">
        <v>4014.21</v>
      </c>
      <c r="J105" s="9" t="s">
        <v>89</v>
      </c>
      <c r="K105" s="9" t="s">
        <v>44</v>
      </c>
    </row>
    <row r="106" spans="1:11" x14ac:dyDescent="0.25">
      <c r="A106" s="8" t="s">
        <v>67</v>
      </c>
      <c r="B106" s="9" t="s">
        <v>68</v>
      </c>
      <c r="C106" s="9" t="s">
        <v>69</v>
      </c>
      <c r="D106" s="9" t="s">
        <v>88</v>
      </c>
      <c r="E106" s="10">
        <v>2002</v>
      </c>
      <c r="F106" s="10">
        <v>2004</v>
      </c>
      <c r="G106" s="9" t="s">
        <v>42</v>
      </c>
      <c r="H106" s="11">
        <v>104977.32</v>
      </c>
      <c r="I106" s="11">
        <v>52488.66</v>
      </c>
      <c r="J106" s="9" t="s">
        <v>89</v>
      </c>
      <c r="K106" s="9" t="s">
        <v>44</v>
      </c>
    </row>
    <row r="107" spans="1:11" x14ac:dyDescent="0.25">
      <c r="A107" s="8" t="s">
        <v>67</v>
      </c>
      <c r="B107" s="9" t="s">
        <v>68</v>
      </c>
      <c r="C107" s="9" t="s">
        <v>69</v>
      </c>
      <c r="D107" s="9" t="s">
        <v>88</v>
      </c>
      <c r="E107" s="10">
        <v>2002</v>
      </c>
      <c r="F107" s="10">
        <v>2004</v>
      </c>
      <c r="G107" s="9" t="s">
        <v>45</v>
      </c>
      <c r="H107" s="11">
        <v>30.29</v>
      </c>
      <c r="I107" s="11">
        <v>15.14</v>
      </c>
      <c r="J107" s="9" t="s">
        <v>89</v>
      </c>
      <c r="K107" s="9" t="s">
        <v>44</v>
      </c>
    </row>
    <row r="108" spans="1:11" x14ac:dyDescent="0.25">
      <c r="A108" s="8" t="s">
        <v>67</v>
      </c>
      <c r="B108" s="9" t="s">
        <v>68</v>
      </c>
      <c r="C108" s="9" t="s">
        <v>69</v>
      </c>
      <c r="D108" s="9" t="s">
        <v>88</v>
      </c>
      <c r="E108" s="10">
        <v>2002</v>
      </c>
      <c r="F108" s="10">
        <v>2004</v>
      </c>
      <c r="G108" s="9" t="s">
        <v>46</v>
      </c>
      <c r="H108" s="11">
        <v>13949.21</v>
      </c>
      <c r="I108" s="11">
        <v>6974.6</v>
      </c>
      <c r="J108" s="9" t="s">
        <v>89</v>
      </c>
      <c r="K108" s="9" t="s">
        <v>44</v>
      </c>
    </row>
    <row r="109" spans="1:11" x14ac:dyDescent="0.25">
      <c r="A109" s="8" t="s">
        <v>67</v>
      </c>
      <c r="B109" s="9" t="s">
        <v>68</v>
      </c>
      <c r="C109" s="9" t="s">
        <v>69</v>
      </c>
      <c r="D109" s="9" t="s">
        <v>88</v>
      </c>
      <c r="E109" s="10">
        <v>2002</v>
      </c>
      <c r="F109" s="10">
        <v>2004</v>
      </c>
      <c r="G109" s="9" t="s">
        <v>50</v>
      </c>
      <c r="H109" s="11">
        <v>5935.99</v>
      </c>
      <c r="I109" s="11">
        <v>2968</v>
      </c>
      <c r="J109" s="9" t="s">
        <v>89</v>
      </c>
      <c r="K109" s="9" t="s">
        <v>44</v>
      </c>
    </row>
    <row r="110" spans="1:11" x14ac:dyDescent="0.25">
      <c r="A110" s="8" t="s">
        <v>70</v>
      </c>
      <c r="B110" s="9" t="s">
        <v>71</v>
      </c>
      <c r="C110" s="9" t="s">
        <v>49</v>
      </c>
      <c r="D110" s="9" t="s">
        <v>88</v>
      </c>
      <c r="E110" s="10">
        <v>2002</v>
      </c>
      <c r="F110" s="10">
        <v>2004</v>
      </c>
      <c r="G110" s="9" t="s">
        <v>42</v>
      </c>
      <c r="H110" s="11">
        <v>66668.25</v>
      </c>
      <c r="I110" s="11">
        <v>33334.120000000003</v>
      </c>
      <c r="J110" s="9" t="s">
        <v>89</v>
      </c>
      <c r="K110" s="9" t="s">
        <v>44</v>
      </c>
    </row>
    <row r="111" spans="1:11" x14ac:dyDescent="0.25">
      <c r="A111" s="8" t="s">
        <v>70</v>
      </c>
      <c r="B111" s="9" t="s">
        <v>71</v>
      </c>
      <c r="C111" s="9" t="s">
        <v>49</v>
      </c>
      <c r="D111" s="9" t="s">
        <v>88</v>
      </c>
      <c r="E111" s="10">
        <v>2002</v>
      </c>
      <c r="F111" s="10">
        <v>2004</v>
      </c>
      <c r="G111" s="9" t="s">
        <v>45</v>
      </c>
      <c r="H111" s="11">
        <v>575.37</v>
      </c>
      <c r="I111" s="11">
        <v>287.68</v>
      </c>
      <c r="J111" s="9" t="s">
        <v>89</v>
      </c>
      <c r="K111" s="9" t="s">
        <v>44</v>
      </c>
    </row>
    <row r="112" spans="1:11" x14ac:dyDescent="0.25">
      <c r="A112" s="8" t="s">
        <v>70</v>
      </c>
      <c r="B112" s="9" t="s">
        <v>71</v>
      </c>
      <c r="C112" s="9" t="s">
        <v>49</v>
      </c>
      <c r="D112" s="9" t="s">
        <v>88</v>
      </c>
      <c r="E112" s="10">
        <v>2002</v>
      </c>
      <c r="F112" s="10">
        <v>2004</v>
      </c>
      <c r="G112" s="9" t="s">
        <v>46</v>
      </c>
      <c r="H112" s="11">
        <v>35100.53</v>
      </c>
      <c r="I112" s="11">
        <v>17550.259999999998</v>
      </c>
      <c r="J112" s="9" t="s">
        <v>89</v>
      </c>
      <c r="K112" s="9" t="s">
        <v>44</v>
      </c>
    </row>
    <row r="113" spans="1:11" x14ac:dyDescent="0.25">
      <c r="A113" s="8" t="s">
        <v>70</v>
      </c>
      <c r="B113" s="9" t="s">
        <v>71</v>
      </c>
      <c r="C113" s="9" t="s">
        <v>49</v>
      </c>
      <c r="D113" s="9" t="s">
        <v>88</v>
      </c>
      <c r="E113" s="10">
        <v>2002</v>
      </c>
      <c r="F113" s="10">
        <v>2004</v>
      </c>
      <c r="G113" s="9" t="s">
        <v>50</v>
      </c>
      <c r="H113" s="11">
        <v>3544.78</v>
      </c>
      <c r="I113" s="11">
        <v>1772.39</v>
      </c>
      <c r="J113" s="9" t="s">
        <v>89</v>
      </c>
      <c r="K113" s="9" t="s">
        <v>44</v>
      </c>
    </row>
    <row r="114" spans="1:11" x14ac:dyDescent="0.25">
      <c r="A114" s="8" t="s">
        <v>72</v>
      </c>
      <c r="B114" s="9" t="s">
        <v>73</v>
      </c>
      <c r="C114" s="9" t="s">
        <v>53</v>
      </c>
      <c r="D114" s="9" t="s">
        <v>88</v>
      </c>
      <c r="E114" s="10">
        <v>2002</v>
      </c>
      <c r="F114" s="10">
        <v>2004</v>
      </c>
      <c r="G114" s="9" t="s">
        <v>42</v>
      </c>
      <c r="H114" s="11">
        <v>20885.400000000001</v>
      </c>
      <c r="I114" s="11">
        <v>10442.700000000001</v>
      </c>
      <c r="J114" s="9" t="s">
        <v>89</v>
      </c>
      <c r="K114" s="9" t="s">
        <v>44</v>
      </c>
    </row>
    <row r="115" spans="1:11" x14ac:dyDescent="0.25">
      <c r="A115" s="8" t="s">
        <v>72</v>
      </c>
      <c r="B115" s="9" t="s">
        <v>73</v>
      </c>
      <c r="C115" s="9" t="s">
        <v>53</v>
      </c>
      <c r="D115" s="9" t="s">
        <v>88</v>
      </c>
      <c r="E115" s="10">
        <v>2002</v>
      </c>
      <c r="F115" s="10">
        <v>2004</v>
      </c>
      <c r="G115" s="9" t="s">
        <v>45</v>
      </c>
      <c r="H115" s="11">
        <v>458.75</v>
      </c>
      <c r="I115" s="11">
        <v>229.38</v>
      </c>
      <c r="J115" s="9" t="s">
        <v>89</v>
      </c>
      <c r="K115" s="9" t="s">
        <v>44</v>
      </c>
    </row>
    <row r="116" spans="1:11" x14ac:dyDescent="0.25">
      <c r="A116" s="8" t="s">
        <v>72</v>
      </c>
      <c r="B116" s="9" t="s">
        <v>73</v>
      </c>
      <c r="C116" s="9" t="s">
        <v>53</v>
      </c>
      <c r="D116" s="9" t="s">
        <v>88</v>
      </c>
      <c r="E116" s="10">
        <v>2002</v>
      </c>
      <c r="F116" s="10">
        <v>2004</v>
      </c>
      <c r="G116" s="9" t="s">
        <v>46</v>
      </c>
      <c r="H116" s="11">
        <v>103354.59</v>
      </c>
      <c r="I116" s="11">
        <v>51677.3</v>
      </c>
      <c r="J116" s="9" t="s">
        <v>89</v>
      </c>
      <c r="K116" s="9" t="s">
        <v>44</v>
      </c>
    </row>
    <row r="117" spans="1:11" x14ac:dyDescent="0.25">
      <c r="A117" s="8" t="s">
        <v>72</v>
      </c>
      <c r="B117" s="9" t="s">
        <v>73</v>
      </c>
      <c r="C117" s="9" t="s">
        <v>53</v>
      </c>
      <c r="D117" s="9" t="s">
        <v>88</v>
      </c>
      <c r="E117" s="10">
        <v>2002</v>
      </c>
      <c r="F117" s="10">
        <v>2004</v>
      </c>
      <c r="G117" s="9" t="s">
        <v>50</v>
      </c>
      <c r="H117" s="11">
        <v>312.85000000000002</v>
      </c>
      <c r="I117" s="11">
        <v>156.43</v>
      </c>
      <c r="J117" s="9" t="s">
        <v>89</v>
      </c>
      <c r="K117" s="9" t="s">
        <v>44</v>
      </c>
    </row>
    <row r="118" spans="1:11" x14ac:dyDescent="0.25">
      <c r="A118" s="8" t="s">
        <v>74</v>
      </c>
      <c r="B118" s="9" t="s">
        <v>75</v>
      </c>
      <c r="C118" s="9" t="s">
        <v>40</v>
      </c>
      <c r="D118" s="9" t="s">
        <v>88</v>
      </c>
      <c r="E118" s="10">
        <v>2002</v>
      </c>
      <c r="F118" s="10">
        <v>2004</v>
      </c>
      <c r="G118" s="9" t="s">
        <v>42</v>
      </c>
      <c r="H118" s="11">
        <v>14222.48</v>
      </c>
      <c r="I118" s="11">
        <v>7111.24</v>
      </c>
      <c r="J118" s="9" t="s">
        <v>89</v>
      </c>
      <c r="K118" s="9" t="s">
        <v>44</v>
      </c>
    </row>
    <row r="119" spans="1:11" x14ac:dyDescent="0.25">
      <c r="A119" s="8" t="s">
        <v>74</v>
      </c>
      <c r="B119" s="9" t="s">
        <v>75</v>
      </c>
      <c r="C119" s="9" t="s">
        <v>40</v>
      </c>
      <c r="D119" s="9" t="s">
        <v>88</v>
      </c>
      <c r="E119" s="10">
        <v>2002</v>
      </c>
      <c r="F119" s="10">
        <v>2004</v>
      </c>
      <c r="G119" s="9" t="s">
        <v>45</v>
      </c>
      <c r="H119" s="11">
        <v>52.97</v>
      </c>
      <c r="I119" s="11">
        <v>26.48</v>
      </c>
      <c r="J119" s="9" t="s">
        <v>89</v>
      </c>
      <c r="K119" s="9" t="s">
        <v>44</v>
      </c>
    </row>
    <row r="120" spans="1:11" x14ac:dyDescent="0.25">
      <c r="A120" s="8" t="s">
        <v>74</v>
      </c>
      <c r="B120" s="9" t="s">
        <v>75</v>
      </c>
      <c r="C120" s="9" t="s">
        <v>40</v>
      </c>
      <c r="D120" s="9" t="s">
        <v>88</v>
      </c>
      <c r="E120" s="10">
        <v>2002</v>
      </c>
      <c r="F120" s="10">
        <v>2004</v>
      </c>
      <c r="G120" s="9" t="s">
        <v>46</v>
      </c>
      <c r="H120" s="11">
        <v>29080.720000000001</v>
      </c>
      <c r="I120" s="11">
        <v>14540.36</v>
      </c>
      <c r="J120" s="9" t="s">
        <v>89</v>
      </c>
      <c r="K120" s="9" t="s">
        <v>44</v>
      </c>
    </row>
    <row r="121" spans="1:11" x14ac:dyDescent="0.25">
      <c r="A121" s="8" t="s">
        <v>76</v>
      </c>
      <c r="B121" s="9" t="s">
        <v>77</v>
      </c>
      <c r="C121" s="9" t="s">
        <v>53</v>
      </c>
      <c r="D121" s="9" t="s">
        <v>88</v>
      </c>
      <c r="E121" s="10">
        <v>2002</v>
      </c>
      <c r="F121" s="10">
        <v>2004</v>
      </c>
      <c r="G121" s="9" t="s">
        <v>42</v>
      </c>
      <c r="H121" s="11">
        <v>240.2</v>
      </c>
      <c r="I121" s="11">
        <v>120.1</v>
      </c>
      <c r="J121" s="9" t="s">
        <v>89</v>
      </c>
      <c r="K121" s="9" t="s">
        <v>44</v>
      </c>
    </row>
    <row r="122" spans="1:11" x14ac:dyDescent="0.25">
      <c r="A122" s="8" t="s">
        <v>76</v>
      </c>
      <c r="B122" s="9" t="s">
        <v>77</v>
      </c>
      <c r="C122" s="9" t="s">
        <v>53</v>
      </c>
      <c r="D122" s="9" t="s">
        <v>88</v>
      </c>
      <c r="E122" s="10">
        <v>2002</v>
      </c>
      <c r="F122" s="10">
        <v>2004</v>
      </c>
      <c r="G122" s="9" t="s">
        <v>45</v>
      </c>
      <c r="H122" s="11">
        <v>2.3199999999999998</v>
      </c>
      <c r="I122" s="11">
        <v>1.1599999999999999</v>
      </c>
      <c r="J122" s="9" t="s">
        <v>89</v>
      </c>
      <c r="K122" s="9" t="s">
        <v>44</v>
      </c>
    </row>
    <row r="123" spans="1:11" x14ac:dyDescent="0.25">
      <c r="A123" s="8" t="s">
        <v>76</v>
      </c>
      <c r="B123" s="9" t="s">
        <v>77</v>
      </c>
      <c r="C123" s="9" t="s">
        <v>53</v>
      </c>
      <c r="D123" s="9" t="s">
        <v>88</v>
      </c>
      <c r="E123" s="10">
        <v>2002</v>
      </c>
      <c r="F123" s="10">
        <v>2004</v>
      </c>
      <c r="G123" s="9" t="s">
        <v>46</v>
      </c>
      <c r="H123" s="11">
        <v>24839.93</v>
      </c>
      <c r="I123" s="11">
        <v>12419.96</v>
      </c>
      <c r="J123" s="9" t="s">
        <v>89</v>
      </c>
      <c r="K123" s="9" t="s">
        <v>44</v>
      </c>
    </row>
    <row r="124" spans="1:11" x14ac:dyDescent="0.25">
      <c r="A124" s="8" t="s">
        <v>78</v>
      </c>
      <c r="B124" s="9" t="s">
        <v>79</v>
      </c>
      <c r="C124" s="9" t="s">
        <v>53</v>
      </c>
      <c r="D124" s="9" t="s">
        <v>88</v>
      </c>
      <c r="E124" s="10">
        <v>2002</v>
      </c>
      <c r="F124" s="10">
        <v>2004</v>
      </c>
      <c r="G124" s="9" t="s">
        <v>42</v>
      </c>
      <c r="H124" s="11">
        <v>1509.08</v>
      </c>
      <c r="I124" s="11">
        <v>754.54</v>
      </c>
      <c r="J124" s="9" t="s">
        <v>89</v>
      </c>
      <c r="K124" s="9" t="s">
        <v>44</v>
      </c>
    </row>
    <row r="125" spans="1:11" x14ac:dyDescent="0.25">
      <c r="A125" s="8" t="s">
        <v>78</v>
      </c>
      <c r="B125" s="9" t="s">
        <v>79</v>
      </c>
      <c r="C125" s="9" t="s">
        <v>53</v>
      </c>
      <c r="D125" s="9" t="s">
        <v>88</v>
      </c>
      <c r="E125" s="10">
        <v>2002</v>
      </c>
      <c r="F125" s="10">
        <v>2004</v>
      </c>
      <c r="G125" s="9" t="s">
        <v>45</v>
      </c>
      <c r="H125" s="11">
        <v>14.19</v>
      </c>
      <c r="I125" s="11">
        <v>7.1</v>
      </c>
      <c r="J125" s="9" t="s">
        <v>89</v>
      </c>
      <c r="K125" s="9" t="s">
        <v>44</v>
      </c>
    </row>
    <row r="126" spans="1:11" x14ac:dyDescent="0.25">
      <c r="A126" s="8" t="s">
        <v>78</v>
      </c>
      <c r="B126" s="9" t="s">
        <v>79</v>
      </c>
      <c r="C126" s="9" t="s">
        <v>53</v>
      </c>
      <c r="D126" s="9" t="s">
        <v>88</v>
      </c>
      <c r="E126" s="10">
        <v>2002</v>
      </c>
      <c r="F126" s="10">
        <v>2004</v>
      </c>
      <c r="G126" s="9" t="s">
        <v>46</v>
      </c>
      <c r="H126" s="11">
        <v>54992.639999999999</v>
      </c>
      <c r="I126" s="11">
        <v>27496.32</v>
      </c>
      <c r="J126" s="9" t="s">
        <v>89</v>
      </c>
      <c r="K126" s="9" t="s">
        <v>44</v>
      </c>
    </row>
    <row r="127" spans="1:11" x14ac:dyDescent="0.25">
      <c r="A127" s="8" t="s">
        <v>80</v>
      </c>
      <c r="B127" s="9" t="s">
        <v>81</v>
      </c>
      <c r="C127" s="9" t="s">
        <v>49</v>
      </c>
      <c r="D127" s="9" t="s">
        <v>88</v>
      </c>
      <c r="E127" s="10">
        <v>2002</v>
      </c>
      <c r="F127" s="10">
        <v>2004</v>
      </c>
      <c r="G127" s="9" t="s">
        <v>42</v>
      </c>
      <c r="H127" s="11">
        <v>72753.039999999994</v>
      </c>
      <c r="I127" s="11">
        <v>36376.519999999997</v>
      </c>
      <c r="J127" s="9" t="s">
        <v>89</v>
      </c>
      <c r="K127" s="9" t="s">
        <v>44</v>
      </c>
    </row>
    <row r="128" spans="1:11" x14ac:dyDescent="0.25">
      <c r="A128" s="8" t="s">
        <v>80</v>
      </c>
      <c r="B128" s="9" t="s">
        <v>81</v>
      </c>
      <c r="C128" s="9" t="s">
        <v>49</v>
      </c>
      <c r="D128" s="9" t="s">
        <v>88</v>
      </c>
      <c r="E128" s="10">
        <v>2002</v>
      </c>
      <c r="F128" s="10">
        <v>2004</v>
      </c>
      <c r="G128" s="9" t="s">
        <v>45</v>
      </c>
      <c r="H128" s="11">
        <v>1231.42</v>
      </c>
      <c r="I128" s="11">
        <v>615.71</v>
      </c>
      <c r="J128" s="9" t="s">
        <v>89</v>
      </c>
      <c r="K128" s="9" t="s">
        <v>44</v>
      </c>
    </row>
    <row r="129" spans="1:11" x14ac:dyDescent="0.25">
      <c r="A129" s="8" t="s">
        <v>80</v>
      </c>
      <c r="B129" s="9" t="s">
        <v>81</v>
      </c>
      <c r="C129" s="9" t="s">
        <v>49</v>
      </c>
      <c r="D129" s="9" t="s">
        <v>88</v>
      </c>
      <c r="E129" s="10">
        <v>2002</v>
      </c>
      <c r="F129" s="10">
        <v>2004</v>
      </c>
      <c r="G129" s="9" t="s">
        <v>46</v>
      </c>
      <c r="H129" s="11">
        <v>214497.68</v>
      </c>
      <c r="I129" s="11">
        <v>107248.84</v>
      </c>
      <c r="J129" s="9" t="s">
        <v>89</v>
      </c>
      <c r="K129" s="9" t="s">
        <v>44</v>
      </c>
    </row>
    <row r="130" spans="1:11" x14ac:dyDescent="0.25">
      <c r="A130" s="8" t="s">
        <v>80</v>
      </c>
      <c r="B130" s="9" t="s">
        <v>81</v>
      </c>
      <c r="C130" s="9" t="s">
        <v>49</v>
      </c>
      <c r="D130" s="9" t="s">
        <v>88</v>
      </c>
      <c r="E130" s="10">
        <v>2002</v>
      </c>
      <c r="F130" s="10">
        <v>2004</v>
      </c>
      <c r="G130" s="9" t="s">
        <v>50</v>
      </c>
      <c r="H130" s="11">
        <v>165.24</v>
      </c>
      <c r="I130" s="11">
        <v>82.62</v>
      </c>
      <c r="J130" s="9" t="s">
        <v>89</v>
      </c>
      <c r="K130" s="9" t="s">
        <v>44</v>
      </c>
    </row>
    <row r="131" spans="1:11" x14ac:dyDescent="0.25">
      <c r="A131" s="8" t="s">
        <v>82</v>
      </c>
      <c r="B131" s="9" t="s">
        <v>83</v>
      </c>
      <c r="C131" s="9" t="s">
        <v>40</v>
      </c>
      <c r="D131" s="9" t="s">
        <v>88</v>
      </c>
      <c r="E131" s="10">
        <v>2002</v>
      </c>
      <c r="F131" s="10">
        <v>2004</v>
      </c>
      <c r="G131" s="9" t="s">
        <v>42</v>
      </c>
      <c r="H131" s="11">
        <v>4602.72</v>
      </c>
      <c r="I131" s="11">
        <v>2301.36</v>
      </c>
      <c r="J131" s="9" t="s">
        <v>89</v>
      </c>
      <c r="K131" s="9" t="s">
        <v>44</v>
      </c>
    </row>
    <row r="132" spans="1:11" x14ac:dyDescent="0.25">
      <c r="A132" s="8" t="s">
        <v>82</v>
      </c>
      <c r="B132" s="9" t="s">
        <v>83</v>
      </c>
      <c r="C132" s="9" t="s">
        <v>40</v>
      </c>
      <c r="D132" s="9" t="s">
        <v>88</v>
      </c>
      <c r="E132" s="10">
        <v>2002</v>
      </c>
      <c r="F132" s="10">
        <v>2004</v>
      </c>
      <c r="G132" s="9" t="s">
        <v>45</v>
      </c>
      <c r="H132" s="11">
        <v>21.56</v>
      </c>
      <c r="I132" s="11">
        <v>10.78</v>
      </c>
      <c r="J132" s="9" t="s">
        <v>89</v>
      </c>
      <c r="K132" s="9" t="s">
        <v>44</v>
      </c>
    </row>
    <row r="133" spans="1:11" x14ac:dyDescent="0.25">
      <c r="A133" s="8" t="s">
        <v>82</v>
      </c>
      <c r="B133" s="9" t="s">
        <v>83</v>
      </c>
      <c r="C133" s="9" t="s">
        <v>40</v>
      </c>
      <c r="D133" s="9" t="s">
        <v>88</v>
      </c>
      <c r="E133" s="10">
        <v>2002</v>
      </c>
      <c r="F133" s="10">
        <v>2004</v>
      </c>
      <c r="G133" s="9" t="s">
        <v>46</v>
      </c>
      <c r="H133" s="11">
        <v>21940.240000000002</v>
      </c>
      <c r="I133" s="11">
        <v>10970.12</v>
      </c>
      <c r="J133" s="9" t="s">
        <v>89</v>
      </c>
      <c r="K133" s="9" t="s">
        <v>44</v>
      </c>
    </row>
    <row r="134" spans="1:11" x14ac:dyDescent="0.25">
      <c r="A134" s="8" t="s">
        <v>84</v>
      </c>
      <c r="B134" s="9" t="s">
        <v>85</v>
      </c>
      <c r="C134" s="9" t="s">
        <v>85</v>
      </c>
      <c r="D134" s="9" t="s">
        <v>88</v>
      </c>
      <c r="E134" s="10">
        <v>2002</v>
      </c>
      <c r="F134" s="10">
        <v>2004</v>
      </c>
      <c r="G134" s="9" t="s">
        <v>42</v>
      </c>
      <c r="H134" s="11">
        <v>168096.28</v>
      </c>
      <c r="I134" s="11">
        <v>84048.14</v>
      </c>
      <c r="J134" s="9" t="s">
        <v>89</v>
      </c>
      <c r="K134" s="9" t="s">
        <v>44</v>
      </c>
    </row>
    <row r="135" spans="1:11" x14ac:dyDescent="0.25">
      <c r="A135" s="8" t="s">
        <v>84</v>
      </c>
      <c r="B135" s="9" t="s">
        <v>85</v>
      </c>
      <c r="C135" s="9" t="s">
        <v>85</v>
      </c>
      <c r="D135" s="9" t="s">
        <v>88</v>
      </c>
      <c r="E135" s="10">
        <v>2002</v>
      </c>
      <c r="F135" s="10">
        <v>2004</v>
      </c>
      <c r="G135" s="9" t="s">
        <v>45</v>
      </c>
      <c r="H135" s="11">
        <v>273.97000000000003</v>
      </c>
      <c r="I135" s="11">
        <v>136.99</v>
      </c>
      <c r="J135" s="9" t="s">
        <v>89</v>
      </c>
      <c r="K135" s="9" t="s">
        <v>44</v>
      </c>
    </row>
    <row r="136" spans="1:11" x14ac:dyDescent="0.25">
      <c r="A136" s="8" t="s">
        <v>84</v>
      </c>
      <c r="B136" s="9" t="s">
        <v>85</v>
      </c>
      <c r="C136" s="9" t="s">
        <v>85</v>
      </c>
      <c r="D136" s="9" t="s">
        <v>88</v>
      </c>
      <c r="E136" s="10">
        <v>2002</v>
      </c>
      <c r="F136" s="10">
        <v>2004</v>
      </c>
      <c r="G136" s="9" t="s">
        <v>46</v>
      </c>
      <c r="H136" s="11">
        <v>77750.990000000005</v>
      </c>
      <c r="I136" s="11">
        <v>38875.5</v>
      </c>
      <c r="J136" s="9" t="s">
        <v>89</v>
      </c>
      <c r="K136" s="9" t="s">
        <v>44</v>
      </c>
    </row>
    <row r="137" spans="1:11" x14ac:dyDescent="0.25">
      <c r="A137" s="8" t="s">
        <v>84</v>
      </c>
      <c r="B137" s="9" t="s">
        <v>85</v>
      </c>
      <c r="C137" s="9" t="s">
        <v>85</v>
      </c>
      <c r="D137" s="9" t="s">
        <v>88</v>
      </c>
      <c r="E137" s="10">
        <v>2002</v>
      </c>
      <c r="F137" s="10">
        <v>2004</v>
      </c>
      <c r="G137" s="9" t="s">
        <v>50</v>
      </c>
      <c r="H137" s="11">
        <v>8141.87</v>
      </c>
      <c r="I137" s="11">
        <v>4070.94</v>
      </c>
      <c r="J137" s="9" t="s">
        <v>89</v>
      </c>
      <c r="K137" s="9" t="s">
        <v>44</v>
      </c>
    </row>
    <row r="138" spans="1:11" x14ac:dyDescent="0.25">
      <c r="A138" s="8" t="s">
        <v>86</v>
      </c>
      <c r="B138" s="9" t="s">
        <v>87</v>
      </c>
      <c r="C138" s="9" t="s">
        <v>69</v>
      </c>
      <c r="D138" s="9" t="s">
        <v>88</v>
      </c>
      <c r="E138" s="10">
        <v>2002</v>
      </c>
      <c r="F138" s="10">
        <v>2004</v>
      </c>
      <c r="G138" s="9" t="s">
        <v>42</v>
      </c>
      <c r="H138" s="11">
        <v>140983.95000000001</v>
      </c>
      <c r="I138" s="11">
        <v>70491.98</v>
      </c>
      <c r="J138" s="9" t="s">
        <v>89</v>
      </c>
      <c r="K138" s="9" t="s">
        <v>44</v>
      </c>
    </row>
    <row r="139" spans="1:11" x14ac:dyDescent="0.25">
      <c r="A139" s="8" t="s">
        <v>86</v>
      </c>
      <c r="B139" s="9" t="s">
        <v>87</v>
      </c>
      <c r="C139" s="9" t="s">
        <v>69</v>
      </c>
      <c r="D139" s="9" t="s">
        <v>88</v>
      </c>
      <c r="E139" s="10">
        <v>2002</v>
      </c>
      <c r="F139" s="10">
        <v>2004</v>
      </c>
      <c r="G139" s="9" t="s">
        <v>45</v>
      </c>
      <c r="H139" s="11">
        <v>47.14</v>
      </c>
      <c r="I139" s="11">
        <v>23.57</v>
      </c>
      <c r="J139" s="9" t="s">
        <v>89</v>
      </c>
      <c r="K139" s="9" t="s">
        <v>44</v>
      </c>
    </row>
    <row r="140" spans="1:11" x14ac:dyDescent="0.25">
      <c r="A140" s="8" t="s">
        <v>86</v>
      </c>
      <c r="B140" s="9" t="s">
        <v>87</v>
      </c>
      <c r="C140" s="9" t="s">
        <v>69</v>
      </c>
      <c r="D140" s="9" t="s">
        <v>88</v>
      </c>
      <c r="E140" s="10">
        <v>2002</v>
      </c>
      <c r="F140" s="10">
        <v>2004</v>
      </c>
      <c r="G140" s="9" t="s">
        <v>46</v>
      </c>
      <c r="H140" s="11">
        <v>15731.94</v>
      </c>
      <c r="I140" s="11">
        <v>7865.97</v>
      </c>
      <c r="J140" s="9" t="s">
        <v>89</v>
      </c>
      <c r="K140" s="9" t="s">
        <v>44</v>
      </c>
    </row>
    <row r="141" spans="1:11" x14ac:dyDescent="0.25">
      <c r="A141" s="8" t="s">
        <v>86</v>
      </c>
      <c r="B141" s="9" t="s">
        <v>87</v>
      </c>
      <c r="C141" s="9" t="s">
        <v>69</v>
      </c>
      <c r="D141" s="9" t="s">
        <v>88</v>
      </c>
      <c r="E141" s="10">
        <v>2002</v>
      </c>
      <c r="F141" s="10">
        <v>2004</v>
      </c>
      <c r="G141" s="9" t="s">
        <v>50</v>
      </c>
      <c r="H141" s="11">
        <v>8678.61</v>
      </c>
      <c r="I141" s="11">
        <v>4339.3</v>
      </c>
      <c r="J141" s="9" t="s">
        <v>89</v>
      </c>
      <c r="K141" s="9" t="s">
        <v>44</v>
      </c>
    </row>
    <row r="142" spans="1:11" x14ac:dyDescent="0.25">
      <c r="A142" s="8" t="s">
        <v>38</v>
      </c>
      <c r="B142" s="9" t="s">
        <v>39</v>
      </c>
      <c r="C142" s="9" t="s">
        <v>40</v>
      </c>
      <c r="D142" s="9" t="s">
        <v>90</v>
      </c>
      <c r="E142" s="10">
        <v>2004</v>
      </c>
      <c r="F142" s="10">
        <v>2006</v>
      </c>
      <c r="G142" s="9" t="s">
        <v>42</v>
      </c>
      <c r="H142" s="11">
        <v>13395.04</v>
      </c>
      <c r="I142" s="11">
        <v>6697.52</v>
      </c>
      <c r="J142" s="9" t="s">
        <v>89</v>
      </c>
      <c r="K142" s="9" t="s">
        <v>44</v>
      </c>
    </row>
    <row r="143" spans="1:11" x14ac:dyDescent="0.25">
      <c r="A143" s="8" t="s">
        <v>38</v>
      </c>
      <c r="B143" s="9" t="s">
        <v>39</v>
      </c>
      <c r="C143" s="9" t="s">
        <v>40</v>
      </c>
      <c r="D143" s="9" t="s">
        <v>90</v>
      </c>
      <c r="E143" s="10">
        <v>2004</v>
      </c>
      <c r="F143" s="10">
        <v>2006</v>
      </c>
      <c r="G143" s="9" t="s">
        <v>46</v>
      </c>
      <c r="H143" s="11">
        <v>16267.96</v>
      </c>
      <c r="I143" s="11">
        <v>8133.98</v>
      </c>
      <c r="J143" s="9" t="s">
        <v>89</v>
      </c>
      <c r="K143" s="9" t="s">
        <v>44</v>
      </c>
    </row>
    <row r="144" spans="1:11" x14ac:dyDescent="0.25">
      <c r="A144" s="8" t="s">
        <v>47</v>
      </c>
      <c r="B144" s="9" t="s">
        <v>48</v>
      </c>
      <c r="C144" s="9" t="s">
        <v>49</v>
      </c>
      <c r="D144" s="9" t="s">
        <v>90</v>
      </c>
      <c r="E144" s="10">
        <v>2004</v>
      </c>
      <c r="F144" s="10">
        <v>2006</v>
      </c>
      <c r="G144" s="9" t="s">
        <v>42</v>
      </c>
      <c r="H144" s="11">
        <v>17662.97</v>
      </c>
      <c r="I144" s="11">
        <v>8831.48</v>
      </c>
      <c r="J144" s="9" t="s">
        <v>89</v>
      </c>
      <c r="K144" s="9" t="s">
        <v>44</v>
      </c>
    </row>
    <row r="145" spans="1:11" x14ac:dyDescent="0.25">
      <c r="A145" s="8" t="s">
        <v>47</v>
      </c>
      <c r="B145" s="9" t="s">
        <v>48</v>
      </c>
      <c r="C145" s="9" t="s">
        <v>49</v>
      </c>
      <c r="D145" s="9" t="s">
        <v>90</v>
      </c>
      <c r="E145" s="10">
        <v>2004</v>
      </c>
      <c r="F145" s="10">
        <v>2006</v>
      </c>
      <c r="G145" s="9" t="s">
        <v>45</v>
      </c>
      <c r="H145" s="11">
        <v>62.23</v>
      </c>
      <c r="I145" s="11">
        <v>31.12</v>
      </c>
      <c r="J145" s="9" t="s">
        <v>89</v>
      </c>
      <c r="K145" s="9" t="s">
        <v>44</v>
      </c>
    </row>
    <row r="146" spans="1:11" x14ac:dyDescent="0.25">
      <c r="A146" s="8" t="s">
        <v>47</v>
      </c>
      <c r="B146" s="9" t="s">
        <v>48</v>
      </c>
      <c r="C146" s="9" t="s">
        <v>49</v>
      </c>
      <c r="D146" s="9" t="s">
        <v>90</v>
      </c>
      <c r="E146" s="10">
        <v>2004</v>
      </c>
      <c r="F146" s="10">
        <v>2006</v>
      </c>
      <c r="G146" s="9" t="s">
        <v>46</v>
      </c>
      <c r="H146" s="11">
        <v>35376.58</v>
      </c>
      <c r="I146" s="11">
        <v>17688.29</v>
      </c>
      <c r="J146" s="9" t="s">
        <v>89</v>
      </c>
      <c r="K146" s="9" t="s">
        <v>44</v>
      </c>
    </row>
    <row r="147" spans="1:11" x14ac:dyDescent="0.25">
      <c r="A147" s="8" t="s">
        <v>47</v>
      </c>
      <c r="B147" s="9" t="s">
        <v>48</v>
      </c>
      <c r="C147" s="9" t="s">
        <v>49</v>
      </c>
      <c r="D147" s="9" t="s">
        <v>90</v>
      </c>
      <c r="E147" s="10">
        <v>2004</v>
      </c>
      <c r="F147" s="10">
        <v>2006</v>
      </c>
      <c r="G147" s="9" t="s">
        <v>50</v>
      </c>
      <c r="H147" s="11">
        <v>179.33</v>
      </c>
      <c r="I147" s="11">
        <v>89.66</v>
      </c>
      <c r="J147" s="9" t="s">
        <v>89</v>
      </c>
      <c r="K147" s="9" t="s">
        <v>44</v>
      </c>
    </row>
    <row r="148" spans="1:11" x14ac:dyDescent="0.25">
      <c r="A148" s="8" t="s">
        <v>51</v>
      </c>
      <c r="B148" s="9" t="s">
        <v>52</v>
      </c>
      <c r="C148" s="9" t="s">
        <v>53</v>
      </c>
      <c r="D148" s="9" t="s">
        <v>90</v>
      </c>
      <c r="E148" s="10">
        <v>2004</v>
      </c>
      <c r="F148" s="10">
        <v>2006</v>
      </c>
      <c r="G148" s="9" t="s">
        <v>42</v>
      </c>
      <c r="H148" s="11">
        <v>1067.58</v>
      </c>
      <c r="I148" s="11">
        <v>533.79</v>
      </c>
      <c r="J148" s="9" t="s">
        <v>89</v>
      </c>
      <c r="K148" s="9" t="s">
        <v>44</v>
      </c>
    </row>
    <row r="149" spans="1:11" x14ac:dyDescent="0.25">
      <c r="A149" s="8" t="s">
        <v>51</v>
      </c>
      <c r="B149" s="9" t="s">
        <v>52</v>
      </c>
      <c r="C149" s="9" t="s">
        <v>53</v>
      </c>
      <c r="D149" s="9" t="s">
        <v>90</v>
      </c>
      <c r="E149" s="10">
        <v>2004</v>
      </c>
      <c r="F149" s="10">
        <v>2006</v>
      </c>
      <c r="G149" s="9" t="s">
        <v>45</v>
      </c>
      <c r="H149" s="11">
        <v>156.71</v>
      </c>
      <c r="I149" s="11">
        <v>78.36</v>
      </c>
      <c r="J149" s="9" t="s">
        <v>89</v>
      </c>
      <c r="K149" s="9" t="s">
        <v>44</v>
      </c>
    </row>
    <row r="150" spans="1:11" x14ac:dyDescent="0.25">
      <c r="A150" s="8" t="s">
        <v>51</v>
      </c>
      <c r="B150" s="9" t="s">
        <v>52</v>
      </c>
      <c r="C150" s="9" t="s">
        <v>53</v>
      </c>
      <c r="D150" s="9" t="s">
        <v>90</v>
      </c>
      <c r="E150" s="10">
        <v>2004</v>
      </c>
      <c r="F150" s="10">
        <v>2006</v>
      </c>
      <c r="G150" s="9" t="s">
        <v>46</v>
      </c>
      <c r="H150" s="11">
        <v>72821.66</v>
      </c>
      <c r="I150" s="11">
        <v>36410.83</v>
      </c>
      <c r="J150" s="9" t="s">
        <v>89</v>
      </c>
      <c r="K150" s="9" t="s">
        <v>44</v>
      </c>
    </row>
    <row r="151" spans="1:11" x14ac:dyDescent="0.25">
      <c r="A151" s="8" t="s">
        <v>51</v>
      </c>
      <c r="B151" s="9" t="s">
        <v>52</v>
      </c>
      <c r="C151" s="9" t="s">
        <v>53</v>
      </c>
      <c r="D151" s="9" t="s">
        <v>90</v>
      </c>
      <c r="E151" s="10">
        <v>2004</v>
      </c>
      <c r="F151" s="10">
        <v>2006</v>
      </c>
      <c r="G151" s="9" t="s">
        <v>64</v>
      </c>
      <c r="H151" s="11">
        <v>19.05</v>
      </c>
      <c r="I151" s="11">
        <v>9.52</v>
      </c>
      <c r="J151" s="9" t="s">
        <v>89</v>
      </c>
      <c r="K151" s="9" t="s">
        <v>44</v>
      </c>
    </row>
    <row r="152" spans="1:11" x14ac:dyDescent="0.25">
      <c r="A152" s="8" t="s">
        <v>54</v>
      </c>
      <c r="B152" s="9" t="s">
        <v>55</v>
      </c>
      <c r="C152" s="9" t="s">
        <v>49</v>
      </c>
      <c r="D152" s="9" t="s">
        <v>90</v>
      </c>
      <c r="E152" s="10">
        <v>2004</v>
      </c>
      <c r="F152" s="10">
        <v>2006</v>
      </c>
      <c r="G152" s="9" t="s">
        <v>42</v>
      </c>
      <c r="H152" s="11">
        <v>6539.4</v>
      </c>
      <c r="I152" s="11">
        <v>3269.7</v>
      </c>
      <c r="J152" s="9" t="s">
        <v>89</v>
      </c>
      <c r="K152" s="9" t="s">
        <v>44</v>
      </c>
    </row>
    <row r="153" spans="1:11" x14ac:dyDescent="0.25">
      <c r="A153" s="8" t="s">
        <v>54</v>
      </c>
      <c r="B153" s="9" t="s">
        <v>55</v>
      </c>
      <c r="C153" s="9" t="s">
        <v>49</v>
      </c>
      <c r="D153" s="9" t="s">
        <v>90</v>
      </c>
      <c r="E153" s="10">
        <v>2004</v>
      </c>
      <c r="F153" s="10">
        <v>2006</v>
      </c>
      <c r="G153" s="9" t="s">
        <v>45</v>
      </c>
      <c r="H153" s="11">
        <v>69.28</v>
      </c>
      <c r="I153" s="11">
        <v>34.64</v>
      </c>
      <c r="J153" s="9" t="s">
        <v>89</v>
      </c>
      <c r="K153" s="9" t="s">
        <v>44</v>
      </c>
    </row>
    <row r="154" spans="1:11" x14ac:dyDescent="0.25">
      <c r="A154" s="8" t="s">
        <v>54</v>
      </c>
      <c r="B154" s="9" t="s">
        <v>55</v>
      </c>
      <c r="C154" s="9" t="s">
        <v>49</v>
      </c>
      <c r="D154" s="9" t="s">
        <v>90</v>
      </c>
      <c r="E154" s="10">
        <v>2004</v>
      </c>
      <c r="F154" s="10">
        <v>2006</v>
      </c>
      <c r="G154" s="9" t="s">
        <v>46</v>
      </c>
      <c r="H154" s="11">
        <v>31656.11</v>
      </c>
      <c r="I154" s="11">
        <v>15828.06</v>
      </c>
      <c r="J154" s="9" t="s">
        <v>89</v>
      </c>
      <c r="K154" s="9" t="s">
        <v>44</v>
      </c>
    </row>
    <row r="155" spans="1:11" x14ac:dyDescent="0.25">
      <c r="A155" s="8" t="s">
        <v>54</v>
      </c>
      <c r="B155" s="9" t="s">
        <v>55</v>
      </c>
      <c r="C155" s="9" t="s">
        <v>49</v>
      </c>
      <c r="D155" s="9" t="s">
        <v>90</v>
      </c>
      <c r="E155" s="10">
        <v>2004</v>
      </c>
      <c r="F155" s="10">
        <v>2006</v>
      </c>
      <c r="G155" s="9" t="s">
        <v>50</v>
      </c>
      <c r="H155" s="11">
        <v>98.75</v>
      </c>
      <c r="I155" s="11">
        <v>49.38</v>
      </c>
      <c r="J155" s="9" t="s">
        <v>89</v>
      </c>
      <c r="K155" s="9" t="s">
        <v>44</v>
      </c>
    </row>
    <row r="156" spans="1:11" x14ac:dyDescent="0.25">
      <c r="A156" s="8" t="s">
        <v>56</v>
      </c>
      <c r="B156" s="9" t="s">
        <v>57</v>
      </c>
      <c r="C156" s="9" t="s">
        <v>40</v>
      </c>
      <c r="D156" s="9" t="s">
        <v>90</v>
      </c>
      <c r="E156" s="10">
        <v>2004</v>
      </c>
      <c r="F156" s="10">
        <v>2006</v>
      </c>
      <c r="G156" s="9" t="s">
        <v>42</v>
      </c>
      <c r="H156" s="11">
        <v>11892.77</v>
      </c>
      <c r="I156" s="11">
        <v>5946.38</v>
      </c>
      <c r="J156" s="9" t="s">
        <v>89</v>
      </c>
      <c r="K156" s="9" t="s">
        <v>44</v>
      </c>
    </row>
    <row r="157" spans="1:11" x14ac:dyDescent="0.25">
      <c r="A157" s="8" t="s">
        <v>56</v>
      </c>
      <c r="B157" s="9" t="s">
        <v>57</v>
      </c>
      <c r="C157" s="9" t="s">
        <v>40</v>
      </c>
      <c r="D157" s="9" t="s">
        <v>90</v>
      </c>
      <c r="E157" s="10">
        <v>2004</v>
      </c>
      <c r="F157" s="10">
        <v>2006</v>
      </c>
      <c r="G157" s="9" t="s">
        <v>45</v>
      </c>
      <c r="H157" s="11">
        <v>22.27</v>
      </c>
      <c r="I157" s="11">
        <v>11.14</v>
      </c>
      <c r="J157" s="9" t="s">
        <v>89</v>
      </c>
      <c r="K157" s="9" t="s">
        <v>44</v>
      </c>
    </row>
    <row r="158" spans="1:11" x14ac:dyDescent="0.25">
      <c r="A158" s="8" t="s">
        <v>56</v>
      </c>
      <c r="B158" s="9" t="s">
        <v>57</v>
      </c>
      <c r="C158" s="9" t="s">
        <v>40</v>
      </c>
      <c r="D158" s="9" t="s">
        <v>90</v>
      </c>
      <c r="E158" s="10">
        <v>2004</v>
      </c>
      <c r="F158" s="10">
        <v>2006</v>
      </c>
      <c r="G158" s="9" t="s">
        <v>46</v>
      </c>
      <c r="H158" s="11">
        <v>24530.13</v>
      </c>
      <c r="I158" s="11">
        <v>12265.06</v>
      </c>
      <c r="J158" s="9" t="s">
        <v>89</v>
      </c>
      <c r="K158" s="9" t="s">
        <v>44</v>
      </c>
    </row>
    <row r="159" spans="1:11" x14ac:dyDescent="0.25">
      <c r="A159" s="8" t="s">
        <v>58</v>
      </c>
      <c r="B159" s="9" t="s">
        <v>59</v>
      </c>
      <c r="C159" s="9" t="s">
        <v>49</v>
      </c>
      <c r="D159" s="9" t="s">
        <v>90</v>
      </c>
      <c r="E159" s="10">
        <v>2004</v>
      </c>
      <c r="F159" s="10">
        <v>2006</v>
      </c>
      <c r="G159" s="9" t="s">
        <v>42</v>
      </c>
      <c r="H159" s="11">
        <v>20894.939999999999</v>
      </c>
      <c r="I159" s="11">
        <v>10447.469999999999</v>
      </c>
      <c r="J159" s="9" t="s">
        <v>89</v>
      </c>
      <c r="K159" s="9" t="s">
        <v>44</v>
      </c>
    </row>
    <row r="160" spans="1:11" x14ac:dyDescent="0.25">
      <c r="A160" s="8" t="s">
        <v>58</v>
      </c>
      <c r="B160" s="9" t="s">
        <v>59</v>
      </c>
      <c r="C160" s="9" t="s">
        <v>49</v>
      </c>
      <c r="D160" s="9" t="s">
        <v>90</v>
      </c>
      <c r="E160" s="10">
        <v>2004</v>
      </c>
      <c r="F160" s="10">
        <v>2006</v>
      </c>
      <c r="G160" s="9" t="s">
        <v>45</v>
      </c>
      <c r="H160" s="11">
        <v>140.54</v>
      </c>
      <c r="I160" s="11">
        <v>70.27</v>
      </c>
      <c r="J160" s="9" t="s">
        <v>89</v>
      </c>
      <c r="K160" s="9" t="s">
        <v>44</v>
      </c>
    </row>
    <row r="161" spans="1:11" x14ac:dyDescent="0.25">
      <c r="A161" s="8" t="s">
        <v>58</v>
      </c>
      <c r="B161" s="9" t="s">
        <v>59</v>
      </c>
      <c r="C161" s="9" t="s">
        <v>49</v>
      </c>
      <c r="D161" s="9" t="s">
        <v>90</v>
      </c>
      <c r="E161" s="10">
        <v>2004</v>
      </c>
      <c r="F161" s="10">
        <v>2006</v>
      </c>
      <c r="G161" s="9" t="s">
        <v>46</v>
      </c>
      <c r="H161" s="11">
        <v>49356.19</v>
      </c>
      <c r="I161" s="11">
        <v>24678.1</v>
      </c>
      <c r="J161" s="9" t="s">
        <v>89</v>
      </c>
      <c r="K161" s="9" t="s">
        <v>44</v>
      </c>
    </row>
    <row r="162" spans="1:11" x14ac:dyDescent="0.25">
      <c r="A162" s="8" t="s">
        <v>58</v>
      </c>
      <c r="B162" s="9" t="s">
        <v>59</v>
      </c>
      <c r="C162" s="9" t="s">
        <v>49</v>
      </c>
      <c r="D162" s="9" t="s">
        <v>90</v>
      </c>
      <c r="E162" s="10">
        <v>2004</v>
      </c>
      <c r="F162" s="10">
        <v>2006</v>
      </c>
      <c r="G162" s="9" t="s">
        <v>50</v>
      </c>
      <c r="H162" s="11">
        <v>70.010000000000005</v>
      </c>
      <c r="I162" s="11">
        <v>35.01</v>
      </c>
      <c r="J162" s="9" t="s">
        <v>89</v>
      </c>
      <c r="K162" s="9" t="s">
        <v>44</v>
      </c>
    </row>
    <row r="163" spans="1:11" x14ac:dyDescent="0.25">
      <c r="A163" s="8" t="s">
        <v>60</v>
      </c>
      <c r="B163" s="9" t="s">
        <v>61</v>
      </c>
      <c r="C163" s="9" t="s">
        <v>40</v>
      </c>
      <c r="D163" s="9" t="s">
        <v>90</v>
      </c>
      <c r="E163" s="10">
        <v>2004</v>
      </c>
      <c r="F163" s="10">
        <v>2006</v>
      </c>
      <c r="G163" s="9" t="s">
        <v>42</v>
      </c>
      <c r="H163" s="11">
        <v>143764.41</v>
      </c>
      <c r="I163" s="11">
        <v>71882.2</v>
      </c>
      <c r="J163" s="9" t="s">
        <v>89</v>
      </c>
      <c r="K163" s="9" t="s">
        <v>44</v>
      </c>
    </row>
    <row r="164" spans="1:11" x14ac:dyDescent="0.25">
      <c r="A164" s="8" t="s">
        <v>60</v>
      </c>
      <c r="B164" s="9" t="s">
        <v>61</v>
      </c>
      <c r="C164" s="9" t="s">
        <v>40</v>
      </c>
      <c r="D164" s="9" t="s">
        <v>90</v>
      </c>
      <c r="E164" s="10">
        <v>2004</v>
      </c>
      <c r="F164" s="10">
        <v>2006</v>
      </c>
      <c r="G164" s="9" t="s">
        <v>45</v>
      </c>
      <c r="H164" s="11">
        <v>113.98</v>
      </c>
      <c r="I164" s="11">
        <v>56.99</v>
      </c>
      <c r="J164" s="9" t="s">
        <v>89</v>
      </c>
      <c r="K164" s="9" t="s">
        <v>44</v>
      </c>
    </row>
    <row r="165" spans="1:11" x14ac:dyDescent="0.25">
      <c r="A165" s="8" t="s">
        <v>60</v>
      </c>
      <c r="B165" s="9" t="s">
        <v>61</v>
      </c>
      <c r="C165" s="9" t="s">
        <v>40</v>
      </c>
      <c r="D165" s="9" t="s">
        <v>90</v>
      </c>
      <c r="E165" s="10">
        <v>2004</v>
      </c>
      <c r="F165" s="10">
        <v>2006</v>
      </c>
      <c r="G165" s="9" t="s">
        <v>46</v>
      </c>
      <c r="H165" s="11">
        <v>49244.42</v>
      </c>
      <c r="I165" s="11">
        <v>24622.21</v>
      </c>
      <c r="J165" s="9" t="s">
        <v>89</v>
      </c>
      <c r="K165" s="9" t="s">
        <v>44</v>
      </c>
    </row>
    <row r="166" spans="1:11" x14ac:dyDescent="0.25">
      <c r="A166" s="8" t="s">
        <v>60</v>
      </c>
      <c r="B166" s="9" t="s">
        <v>61</v>
      </c>
      <c r="C166" s="9" t="s">
        <v>40</v>
      </c>
      <c r="D166" s="9" t="s">
        <v>90</v>
      </c>
      <c r="E166" s="10">
        <v>2004</v>
      </c>
      <c r="F166" s="10">
        <v>2006</v>
      </c>
      <c r="G166" s="9" t="s">
        <v>50</v>
      </c>
      <c r="H166" s="11">
        <v>1799.15</v>
      </c>
      <c r="I166" s="11">
        <v>899.58</v>
      </c>
      <c r="J166" s="9" t="s">
        <v>89</v>
      </c>
      <c r="K166" s="9" t="s">
        <v>44</v>
      </c>
    </row>
    <row r="167" spans="1:11" x14ac:dyDescent="0.25">
      <c r="A167" s="8" t="s">
        <v>62</v>
      </c>
      <c r="B167" s="9" t="s">
        <v>63</v>
      </c>
      <c r="C167" s="9" t="s">
        <v>40</v>
      </c>
      <c r="D167" s="9" t="s">
        <v>90</v>
      </c>
      <c r="E167" s="10">
        <v>2004</v>
      </c>
      <c r="F167" s="10">
        <v>2006</v>
      </c>
      <c r="G167" s="9" t="s">
        <v>42</v>
      </c>
      <c r="H167" s="11">
        <v>92274.91</v>
      </c>
      <c r="I167" s="11">
        <v>46137.46</v>
      </c>
      <c r="J167" s="9" t="s">
        <v>89</v>
      </c>
      <c r="K167" s="9" t="s">
        <v>44</v>
      </c>
    </row>
    <row r="168" spans="1:11" x14ac:dyDescent="0.25">
      <c r="A168" s="8" t="s">
        <v>62</v>
      </c>
      <c r="B168" s="9" t="s">
        <v>63</v>
      </c>
      <c r="C168" s="9" t="s">
        <v>40</v>
      </c>
      <c r="D168" s="9" t="s">
        <v>90</v>
      </c>
      <c r="E168" s="10">
        <v>2004</v>
      </c>
      <c r="F168" s="10">
        <v>2006</v>
      </c>
      <c r="G168" s="9" t="s">
        <v>45</v>
      </c>
      <c r="H168" s="11">
        <v>43.35</v>
      </c>
      <c r="I168" s="11">
        <v>21.68</v>
      </c>
      <c r="J168" s="9" t="s">
        <v>89</v>
      </c>
      <c r="K168" s="9" t="s">
        <v>44</v>
      </c>
    </row>
    <row r="169" spans="1:11" x14ac:dyDescent="0.25">
      <c r="A169" s="8" t="s">
        <v>62</v>
      </c>
      <c r="B169" s="9" t="s">
        <v>63</v>
      </c>
      <c r="C169" s="9" t="s">
        <v>40</v>
      </c>
      <c r="D169" s="9" t="s">
        <v>90</v>
      </c>
      <c r="E169" s="10">
        <v>2004</v>
      </c>
      <c r="F169" s="10">
        <v>2006</v>
      </c>
      <c r="G169" s="9" t="s">
        <v>46</v>
      </c>
      <c r="H169" s="11">
        <v>45320.23</v>
      </c>
      <c r="I169" s="11">
        <v>22660.12</v>
      </c>
      <c r="J169" s="9" t="s">
        <v>89</v>
      </c>
      <c r="K169" s="9" t="s">
        <v>44</v>
      </c>
    </row>
    <row r="170" spans="1:11" x14ac:dyDescent="0.25">
      <c r="A170" s="8" t="s">
        <v>62</v>
      </c>
      <c r="B170" s="9" t="s">
        <v>63</v>
      </c>
      <c r="C170" s="9" t="s">
        <v>40</v>
      </c>
      <c r="D170" s="9" t="s">
        <v>90</v>
      </c>
      <c r="E170" s="10">
        <v>2004</v>
      </c>
      <c r="F170" s="10">
        <v>2006</v>
      </c>
      <c r="G170" s="9" t="s">
        <v>50</v>
      </c>
      <c r="H170" s="11">
        <v>586.97</v>
      </c>
      <c r="I170" s="11">
        <v>293.48</v>
      </c>
      <c r="J170" s="9" t="s">
        <v>89</v>
      </c>
      <c r="K170" s="9" t="s">
        <v>44</v>
      </c>
    </row>
    <row r="171" spans="1:11" x14ac:dyDescent="0.25">
      <c r="A171" s="8" t="s">
        <v>65</v>
      </c>
      <c r="B171" s="9" t="s">
        <v>66</v>
      </c>
      <c r="C171" s="9" t="s">
        <v>40</v>
      </c>
      <c r="D171" s="9" t="s">
        <v>90</v>
      </c>
      <c r="E171" s="10">
        <v>2004</v>
      </c>
      <c r="F171" s="10">
        <v>2006</v>
      </c>
      <c r="G171" s="9" t="s">
        <v>42</v>
      </c>
      <c r="H171" s="11">
        <v>1303.52</v>
      </c>
      <c r="I171" s="11">
        <v>651.76</v>
      </c>
      <c r="J171" s="9" t="s">
        <v>89</v>
      </c>
      <c r="K171" s="9" t="s">
        <v>44</v>
      </c>
    </row>
    <row r="172" spans="1:11" x14ac:dyDescent="0.25">
      <c r="A172" s="8" t="s">
        <v>65</v>
      </c>
      <c r="B172" s="9" t="s">
        <v>66</v>
      </c>
      <c r="C172" s="9" t="s">
        <v>40</v>
      </c>
      <c r="D172" s="9" t="s">
        <v>90</v>
      </c>
      <c r="E172" s="10">
        <v>2004</v>
      </c>
      <c r="F172" s="10">
        <v>2006</v>
      </c>
      <c r="G172" s="9" t="s">
        <v>46</v>
      </c>
      <c r="H172" s="11">
        <v>8028.48</v>
      </c>
      <c r="I172" s="11">
        <v>4014.24</v>
      </c>
      <c r="J172" s="9" t="s">
        <v>89</v>
      </c>
      <c r="K172" s="9" t="s">
        <v>44</v>
      </c>
    </row>
    <row r="173" spans="1:11" x14ac:dyDescent="0.25">
      <c r="A173" s="8" t="s">
        <v>67</v>
      </c>
      <c r="B173" s="9" t="s">
        <v>68</v>
      </c>
      <c r="C173" s="9" t="s">
        <v>69</v>
      </c>
      <c r="D173" s="9" t="s">
        <v>90</v>
      </c>
      <c r="E173" s="10">
        <v>2004</v>
      </c>
      <c r="F173" s="10">
        <v>2006</v>
      </c>
      <c r="G173" s="9" t="s">
        <v>42</v>
      </c>
      <c r="H173" s="11">
        <v>106552.79</v>
      </c>
      <c r="I173" s="11">
        <v>53276.4</v>
      </c>
      <c r="J173" s="9" t="s">
        <v>89</v>
      </c>
      <c r="K173" s="9" t="s">
        <v>44</v>
      </c>
    </row>
    <row r="174" spans="1:11" x14ac:dyDescent="0.25">
      <c r="A174" s="8" t="s">
        <v>67</v>
      </c>
      <c r="B174" s="9" t="s">
        <v>68</v>
      </c>
      <c r="C174" s="9" t="s">
        <v>69</v>
      </c>
      <c r="D174" s="9" t="s">
        <v>90</v>
      </c>
      <c r="E174" s="10">
        <v>2004</v>
      </c>
      <c r="F174" s="10">
        <v>2006</v>
      </c>
      <c r="G174" s="9" t="s">
        <v>45</v>
      </c>
      <c r="H174" s="11">
        <v>325.56</v>
      </c>
      <c r="I174" s="11">
        <v>162.78</v>
      </c>
      <c r="J174" s="9" t="s">
        <v>89</v>
      </c>
      <c r="K174" s="9" t="s">
        <v>44</v>
      </c>
    </row>
    <row r="175" spans="1:11" x14ac:dyDescent="0.25">
      <c r="A175" s="8" t="s">
        <v>67</v>
      </c>
      <c r="B175" s="9" t="s">
        <v>68</v>
      </c>
      <c r="C175" s="9" t="s">
        <v>69</v>
      </c>
      <c r="D175" s="9" t="s">
        <v>90</v>
      </c>
      <c r="E175" s="10">
        <v>2004</v>
      </c>
      <c r="F175" s="10">
        <v>2006</v>
      </c>
      <c r="G175" s="9" t="s">
        <v>46</v>
      </c>
      <c r="H175" s="11">
        <v>14138.21</v>
      </c>
      <c r="I175" s="11">
        <v>7069.1</v>
      </c>
      <c r="J175" s="9" t="s">
        <v>89</v>
      </c>
      <c r="K175" s="9" t="s">
        <v>44</v>
      </c>
    </row>
    <row r="176" spans="1:11" x14ac:dyDescent="0.25">
      <c r="A176" s="8" t="s">
        <v>67</v>
      </c>
      <c r="B176" s="9" t="s">
        <v>68</v>
      </c>
      <c r="C176" s="9" t="s">
        <v>69</v>
      </c>
      <c r="D176" s="9" t="s">
        <v>90</v>
      </c>
      <c r="E176" s="10">
        <v>2004</v>
      </c>
      <c r="F176" s="10">
        <v>2006</v>
      </c>
      <c r="G176" s="9" t="s">
        <v>64</v>
      </c>
      <c r="H176" s="11">
        <v>0.79</v>
      </c>
      <c r="I176" s="11">
        <v>0.4</v>
      </c>
      <c r="J176" s="9" t="s">
        <v>89</v>
      </c>
      <c r="K176" s="9" t="s">
        <v>44</v>
      </c>
    </row>
    <row r="177" spans="1:11" x14ac:dyDescent="0.25">
      <c r="A177" s="8" t="s">
        <v>67</v>
      </c>
      <c r="B177" s="9" t="s">
        <v>68</v>
      </c>
      <c r="C177" s="9" t="s">
        <v>69</v>
      </c>
      <c r="D177" s="9" t="s">
        <v>90</v>
      </c>
      <c r="E177" s="10">
        <v>2004</v>
      </c>
      <c r="F177" s="10">
        <v>2006</v>
      </c>
      <c r="G177" s="9" t="s">
        <v>50</v>
      </c>
      <c r="H177" s="11">
        <v>3875.48</v>
      </c>
      <c r="I177" s="11">
        <v>1937.74</v>
      </c>
      <c r="J177" s="9" t="s">
        <v>89</v>
      </c>
      <c r="K177" s="9" t="s">
        <v>44</v>
      </c>
    </row>
    <row r="178" spans="1:11" x14ac:dyDescent="0.25">
      <c r="A178" s="8" t="s">
        <v>70</v>
      </c>
      <c r="B178" s="9" t="s">
        <v>71</v>
      </c>
      <c r="C178" s="9" t="s">
        <v>49</v>
      </c>
      <c r="D178" s="9" t="s">
        <v>90</v>
      </c>
      <c r="E178" s="10">
        <v>2004</v>
      </c>
      <c r="F178" s="10">
        <v>2006</v>
      </c>
      <c r="G178" s="9" t="s">
        <v>42</v>
      </c>
      <c r="H178" s="11">
        <v>68393.509999999995</v>
      </c>
      <c r="I178" s="11">
        <v>34196.75</v>
      </c>
      <c r="J178" s="9" t="s">
        <v>89</v>
      </c>
      <c r="K178" s="9" t="s">
        <v>44</v>
      </c>
    </row>
    <row r="179" spans="1:11" x14ac:dyDescent="0.25">
      <c r="A179" s="8" t="s">
        <v>70</v>
      </c>
      <c r="B179" s="9" t="s">
        <v>71</v>
      </c>
      <c r="C179" s="9" t="s">
        <v>49</v>
      </c>
      <c r="D179" s="9" t="s">
        <v>90</v>
      </c>
      <c r="E179" s="10">
        <v>2004</v>
      </c>
      <c r="F179" s="10">
        <v>2006</v>
      </c>
      <c r="G179" s="9" t="s">
        <v>45</v>
      </c>
      <c r="H179" s="11">
        <v>314.64999999999998</v>
      </c>
      <c r="I179" s="11">
        <v>157.32</v>
      </c>
      <c r="J179" s="9" t="s">
        <v>89</v>
      </c>
      <c r="K179" s="9" t="s">
        <v>44</v>
      </c>
    </row>
    <row r="180" spans="1:11" x14ac:dyDescent="0.25">
      <c r="A180" s="8" t="s">
        <v>70</v>
      </c>
      <c r="B180" s="9" t="s">
        <v>71</v>
      </c>
      <c r="C180" s="9" t="s">
        <v>49</v>
      </c>
      <c r="D180" s="9" t="s">
        <v>90</v>
      </c>
      <c r="E180" s="10">
        <v>2004</v>
      </c>
      <c r="F180" s="10">
        <v>2006</v>
      </c>
      <c r="G180" s="9" t="s">
        <v>46</v>
      </c>
      <c r="H180" s="11">
        <v>35926.480000000003</v>
      </c>
      <c r="I180" s="11">
        <v>17963.240000000002</v>
      </c>
      <c r="J180" s="9" t="s">
        <v>89</v>
      </c>
      <c r="K180" s="9" t="s">
        <v>44</v>
      </c>
    </row>
    <row r="181" spans="1:11" x14ac:dyDescent="0.25">
      <c r="A181" s="8" t="s">
        <v>70</v>
      </c>
      <c r="B181" s="9" t="s">
        <v>71</v>
      </c>
      <c r="C181" s="9" t="s">
        <v>49</v>
      </c>
      <c r="D181" s="9" t="s">
        <v>90</v>
      </c>
      <c r="E181" s="10">
        <v>2004</v>
      </c>
      <c r="F181" s="10">
        <v>2006</v>
      </c>
      <c r="G181" s="9" t="s">
        <v>64</v>
      </c>
      <c r="H181" s="11">
        <v>21.64</v>
      </c>
      <c r="I181" s="11">
        <v>10.82</v>
      </c>
      <c r="J181" s="9" t="s">
        <v>89</v>
      </c>
      <c r="K181" s="9" t="s">
        <v>44</v>
      </c>
    </row>
    <row r="182" spans="1:11" x14ac:dyDescent="0.25">
      <c r="A182" s="8" t="s">
        <v>70</v>
      </c>
      <c r="B182" s="9" t="s">
        <v>71</v>
      </c>
      <c r="C182" s="9" t="s">
        <v>49</v>
      </c>
      <c r="D182" s="9" t="s">
        <v>90</v>
      </c>
      <c r="E182" s="10">
        <v>2004</v>
      </c>
      <c r="F182" s="10">
        <v>2006</v>
      </c>
      <c r="G182" s="9" t="s">
        <v>50</v>
      </c>
      <c r="H182" s="11">
        <v>1231.8</v>
      </c>
      <c r="I182" s="11">
        <v>615.9</v>
      </c>
      <c r="J182" s="9" t="s">
        <v>89</v>
      </c>
      <c r="K182" s="9" t="s">
        <v>44</v>
      </c>
    </row>
    <row r="183" spans="1:11" x14ac:dyDescent="0.25">
      <c r="A183" s="8" t="s">
        <v>72</v>
      </c>
      <c r="B183" s="9" t="s">
        <v>73</v>
      </c>
      <c r="C183" s="9" t="s">
        <v>53</v>
      </c>
      <c r="D183" s="9" t="s">
        <v>90</v>
      </c>
      <c r="E183" s="10">
        <v>2004</v>
      </c>
      <c r="F183" s="10">
        <v>2006</v>
      </c>
      <c r="G183" s="9" t="s">
        <v>42</v>
      </c>
      <c r="H183" s="11">
        <v>20228.91</v>
      </c>
      <c r="I183" s="11">
        <v>10114.459999999999</v>
      </c>
      <c r="J183" s="9" t="s">
        <v>89</v>
      </c>
      <c r="K183" s="9" t="s">
        <v>44</v>
      </c>
    </row>
    <row r="184" spans="1:11" x14ac:dyDescent="0.25">
      <c r="A184" s="8" t="s">
        <v>72</v>
      </c>
      <c r="B184" s="9" t="s">
        <v>73</v>
      </c>
      <c r="C184" s="9" t="s">
        <v>53</v>
      </c>
      <c r="D184" s="9" t="s">
        <v>90</v>
      </c>
      <c r="E184" s="10">
        <v>2004</v>
      </c>
      <c r="F184" s="10">
        <v>2006</v>
      </c>
      <c r="G184" s="9" t="s">
        <v>45</v>
      </c>
      <c r="H184" s="11">
        <v>504.34</v>
      </c>
      <c r="I184" s="11">
        <v>252.17</v>
      </c>
      <c r="J184" s="9" t="s">
        <v>89</v>
      </c>
      <c r="K184" s="9" t="s">
        <v>44</v>
      </c>
    </row>
    <row r="185" spans="1:11" x14ac:dyDescent="0.25">
      <c r="A185" s="8" t="s">
        <v>72</v>
      </c>
      <c r="B185" s="9" t="s">
        <v>73</v>
      </c>
      <c r="C185" s="9" t="s">
        <v>53</v>
      </c>
      <c r="D185" s="9" t="s">
        <v>90</v>
      </c>
      <c r="E185" s="10">
        <v>2004</v>
      </c>
      <c r="F185" s="10">
        <v>2006</v>
      </c>
      <c r="G185" s="9" t="s">
        <v>46</v>
      </c>
      <c r="H185" s="11">
        <v>104246.12</v>
      </c>
      <c r="I185" s="11">
        <v>52123.06</v>
      </c>
      <c r="J185" s="9" t="s">
        <v>89</v>
      </c>
      <c r="K185" s="9" t="s">
        <v>44</v>
      </c>
    </row>
    <row r="186" spans="1:11" x14ac:dyDescent="0.25">
      <c r="A186" s="8" t="s">
        <v>72</v>
      </c>
      <c r="B186" s="9" t="s">
        <v>73</v>
      </c>
      <c r="C186" s="9" t="s">
        <v>53</v>
      </c>
      <c r="D186" s="9" t="s">
        <v>90</v>
      </c>
      <c r="E186" s="10">
        <v>2004</v>
      </c>
      <c r="F186" s="10">
        <v>2006</v>
      </c>
      <c r="G186" s="9" t="s">
        <v>64</v>
      </c>
      <c r="H186" s="11">
        <v>18.68</v>
      </c>
      <c r="I186" s="11">
        <v>9.34</v>
      </c>
      <c r="J186" s="9" t="s">
        <v>89</v>
      </c>
      <c r="K186" s="9" t="s">
        <v>44</v>
      </c>
    </row>
    <row r="187" spans="1:11" x14ac:dyDescent="0.25">
      <c r="A187" s="8" t="s">
        <v>72</v>
      </c>
      <c r="B187" s="9" t="s">
        <v>73</v>
      </c>
      <c r="C187" s="9" t="s">
        <v>53</v>
      </c>
      <c r="D187" s="9" t="s">
        <v>90</v>
      </c>
      <c r="E187" s="10">
        <v>2004</v>
      </c>
      <c r="F187" s="10">
        <v>2006</v>
      </c>
      <c r="G187" s="9" t="s">
        <v>50</v>
      </c>
      <c r="H187" s="11">
        <v>13.41</v>
      </c>
      <c r="I187" s="11">
        <v>6.7</v>
      </c>
      <c r="J187" s="9" t="s">
        <v>89</v>
      </c>
      <c r="K187" s="9" t="s">
        <v>44</v>
      </c>
    </row>
    <row r="188" spans="1:11" x14ac:dyDescent="0.25">
      <c r="A188" s="8" t="s">
        <v>74</v>
      </c>
      <c r="B188" s="9" t="s">
        <v>75</v>
      </c>
      <c r="C188" s="9" t="s">
        <v>40</v>
      </c>
      <c r="D188" s="9" t="s">
        <v>90</v>
      </c>
      <c r="E188" s="10">
        <v>2004</v>
      </c>
      <c r="F188" s="10">
        <v>2006</v>
      </c>
      <c r="G188" s="9" t="s">
        <v>42</v>
      </c>
      <c r="H188" s="11">
        <v>14205.31</v>
      </c>
      <c r="I188" s="11">
        <v>7102.66</v>
      </c>
      <c r="J188" s="9" t="s">
        <v>89</v>
      </c>
      <c r="K188" s="9" t="s">
        <v>44</v>
      </c>
    </row>
    <row r="189" spans="1:11" x14ac:dyDescent="0.25">
      <c r="A189" s="8" t="s">
        <v>74</v>
      </c>
      <c r="B189" s="9" t="s">
        <v>75</v>
      </c>
      <c r="C189" s="9" t="s">
        <v>40</v>
      </c>
      <c r="D189" s="9" t="s">
        <v>90</v>
      </c>
      <c r="E189" s="10">
        <v>2004</v>
      </c>
      <c r="F189" s="10">
        <v>2006</v>
      </c>
      <c r="G189" s="9" t="s">
        <v>45</v>
      </c>
      <c r="H189" s="11">
        <v>9.66</v>
      </c>
      <c r="I189" s="11">
        <v>4.83</v>
      </c>
      <c r="J189" s="9" t="s">
        <v>89</v>
      </c>
      <c r="K189" s="9" t="s">
        <v>44</v>
      </c>
    </row>
    <row r="190" spans="1:11" x14ac:dyDescent="0.25">
      <c r="A190" s="8" t="s">
        <v>74</v>
      </c>
      <c r="B190" s="9" t="s">
        <v>75</v>
      </c>
      <c r="C190" s="9" t="s">
        <v>40</v>
      </c>
      <c r="D190" s="9" t="s">
        <v>90</v>
      </c>
      <c r="E190" s="10">
        <v>2004</v>
      </c>
      <c r="F190" s="10">
        <v>2006</v>
      </c>
      <c r="G190" s="9" t="s">
        <v>46</v>
      </c>
      <c r="H190" s="11">
        <v>29137.18</v>
      </c>
      <c r="I190" s="11">
        <v>14568.59</v>
      </c>
      <c r="J190" s="9" t="s">
        <v>89</v>
      </c>
      <c r="K190" s="9" t="s">
        <v>44</v>
      </c>
    </row>
    <row r="191" spans="1:11" x14ac:dyDescent="0.25">
      <c r="A191" s="8" t="s">
        <v>74</v>
      </c>
      <c r="B191" s="9" t="s">
        <v>75</v>
      </c>
      <c r="C191" s="9" t="s">
        <v>40</v>
      </c>
      <c r="D191" s="9" t="s">
        <v>90</v>
      </c>
      <c r="E191" s="10">
        <v>2004</v>
      </c>
      <c r="F191" s="10">
        <v>2006</v>
      </c>
      <c r="G191" s="9" t="s">
        <v>50</v>
      </c>
      <c r="H191" s="11">
        <v>4.01</v>
      </c>
      <c r="I191" s="11">
        <v>2</v>
      </c>
      <c r="J191" s="9" t="s">
        <v>89</v>
      </c>
      <c r="K191" s="9" t="s">
        <v>44</v>
      </c>
    </row>
    <row r="192" spans="1:11" x14ac:dyDescent="0.25">
      <c r="A192" s="8" t="s">
        <v>76</v>
      </c>
      <c r="B192" s="9" t="s">
        <v>77</v>
      </c>
      <c r="C192" s="9" t="s">
        <v>53</v>
      </c>
      <c r="D192" s="9" t="s">
        <v>90</v>
      </c>
      <c r="E192" s="10">
        <v>2004</v>
      </c>
      <c r="F192" s="10">
        <v>2006</v>
      </c>
      <c r="G192" s="9" t="s">
        <v>42</v>
      </c>
      <c r="H192" s="11">
        <v>231.66</v>
      </c>
      <c r="I192" s="11">
        <v>115.83</v>
      </c>
      <c r="J192" s="9" t="s">
        <v>89</v>
      </c>
      <c r="K192" s="9" t="s">
        <v>44</v>
      </c>
    </row>
    <row r="193" spans="1:11" x14ac:dyDescent="0.25">
      <c r="A193" s="8" t="s">
        <v>76</v>
      </c>
      <c r="B193" s="9" t="s">
        <v>77</v>
      </c>
      <c r="C193" s="9" t="s">
        <v>53</v>
      </c>
      <c r="D193" s="9" t="s">
        <v>90</v>
      </c>
      <c r="E193" s="10">
        <v>2004</v>
      </c>
      <c r="F193" s="10">
        <v>2006</v>
      </c>
      <c r="G193" s="9" t="s">
        <v>45</v>
      </c>
      <c r="H193" s="11">
        <v>7.98</v>
      </c>
      <c r="I193" s="11">
        <v>3.99</v>
      </c>
      <c r="J193" s="9" t="s">
        <v>89</v>
      </c>
      <c r="K193" s="9" t="s">
        <v>44</v>
      </c>
    </row>
    <row r="194" spans="1:11" x14ac:dyDescent="0.25">
      <c r="A194" s="8" t="s">
        <v>76</v>
      </c>
      <c r="B194" s="9" t="s">
        <v>77</v>
      </c>
      <c r="C194" s="9" t="s">
        <v>53</v>
      </c>
      <c r="D194" s="9" t="s">
        <v>90</v>
      </c>
      <c r="E194" s="10">
        <v>2004</v>
      </c>
      <c r="F194" s="10">
        <v>2006</v>
      </c>
      <c r="G194" s="9" t="s">
        <v>46</v>
      </c>
      <c r="H194" s="11">
        <v>24842.81</v>
      </c>
      <c r="I194" s="11">
        <v>12421.4</v>
      </c>
      <c r="J194" s="9" t="s">
        <v>89</v>
      </c>
      <c r="K194" s="9" t="s">
        <v>44</v>
      </c>
    </row>
    <row r="195" spans="1:11" x14ac:dyDescent="0.25">
      <c r="A195" s="8" t="s">
        <v>78</v>
      </c>
      <c r="B195" s="9" t="s">
        <v>79</v>
      </c>
      <c r="C195" s="9" t="s">
        <v>53</v>
      </c>
      <c r="D195" s="9" t="s">
        <v>90</v>
      </c>
      <c r="E195" s="10">
        <v>2004</v>
      </c>
      <c r="F195" s="10">
        <v>2006</v>
      </c>
      <c r="G195" s="9" t="s">
        <v>42</v>
      </c>
      <c r="H195" s="11">
        <v>1479.7</v>
      </c>
      <c r="I195" s="11">
        <v>739.85</v>
      </c>
      <c r="J195" s="9" t="s">
        <v>89</v>
      </c>
      <c r="K195" s="9" t="s">
        <v>44</v>
      </c>
    </row>
    <row r="196" spans="1:11" x14ac:dyDescent="0.25">
      <c r="A196" s="8" t="s">
        <v>78</v>
      </c>
      <c r="B196" s="9" t="s">
        <v>79</v>
      </c>
      <c r="C196" s="9" t="s">
        <v>53</v>
      </c>
      <c r="D196" s="9" t="s">
        <v>90</v>
      </c>
      <c r="E196" s="10">
        <v>2004</v>
      </c>
      <c r="F196" s="10">
        <v>2006</v>
      </c>
      <c r="G196" s="9" t="s">
        <v>45</v>
      </c>
      <c r="H196" s="11">
        <v>26.41</v>
      </c>
      <c r="I196" s="11">
        <v>13.2</v>
      </c>
      <c r="J196" s="9" t="s">
        <v>89</v>
      </c>
      <c r="K196" s="9" t="s">
        <v>44</v>
      </c>
    </row>
    <row r="197" spans="1:11" x14ac:dyDescent="0.25">
      <c r="A197" s="8" t="s">
        <v>78</v>
      </c>
      <c r="B197" s="9" t="s">
        <v>79</v>
      </c>
      <c r="C197" s="9" t="s">
        <v>53</v>
      </c>
      <c r="D197" s="9" t="s">
        <v>90</v>
      </c>
      <c r="E197" s="10">
        <v>2004</v>
      </c>
      <c r="F197" s="10">
        <v>2006</v>
      </c>
      <c r="G197" s="9" t="s">
        <v>46</v>
      </c>
      <c r="H197" s="11">
        <v>54999.06</v>
      </c>
      <c r="I197" s="11">
        <v>27499.53</v>
      </c>
      <c r="J197" s="9" t="s">
        <v>89</v>
      </c>
      <c r="K197" s="9" t="s">
        <v>44</v>
      </c>
    </row>
    <row r="198" spans="1:11" x14ac:dyDescent="0.25">
      <c r="A198" s="8" t="s">
        <v>78</v>
      </c>
      <c r="B198" s="9" t="s">
        <v>79</v>
      </c>
      <c r="C198" s="9" t="s">
        <v>53</v>
      </c>
      <c r="D198" s="9" t="s">
        <v>90</v>
      </c>
      <c r="E198" s="10">
        <v>2004</v>
      </c>
      <c r="F198" s="10">
        <v>2006</v>
      </c>
      <c r="G198" s="9" t="s">
        <v>64</v>
      </c>
      <c r="H198" s="11">
        <v>8.9600000000000009</v>
      </c>
      <c r="I198" s="11">
        <v>4.4800000000000004</v>
      </c>
      <c r="J198" s="9" t="s">
        <v>89</v>
      </c>
      <c r="K198" s="9" t="s">
        <v>44</v>
      </c>
    </row>
    <row r="199" spans="1:11" x14ac:dyDescent="0.25">
      <c r="A199" s="8" t="s">
        <v>78</v>
      </c>
      <c r="B199" s="9" t="s">
        <v>79</v>
      </c>
      <c r="C199" s="9" t="s">
        <v>53</v>
      </c>
      <c r="D199" s="9" t="s">
        <v>90</v>
      </c>
      <c r="E199" s="10">
        <v>2004</v>
      </c>
      <c r="F199" s="10">
        <v>2006</v>
      </c>
      <c r="G199" s="9" t="s">
        <v>50</v>
      </c>
      <c r="H199" s="11">
        <v>1.79</v>
      </c>
      <c r="I199" s="11">
        <v>0.9</v>
      </c>
      <c r="J199" s="9" t="s">
        <v>89</v>
      </c>
      <c r="K199" s="9" t="s">
        <v>44</v>
      </c>
    </row>
    <row r="200" spans="1:11" x14ac:dyDescent="0.25">
      <c r="A200" s="8" t="s">
        <v>80</v>
      </c>
      <c r="B200" s="9" t="s">
        <v>81</v>
      </c>
      <c r="C200" s="9" t="s">
        <v>49</v>
      </c>
      <c r="D200" s="9" t="s">
        <v>90</v>
      </c>
      <c r="E200" s="10">
        <v>2004</v>
      </c>
      <c r="F200" s="10">
        <v>2006</v>
      </c>
      <c r="G200" s="9" t="s">
        <v>42</v>
      </c>
      <c r="H200" s="11">
        <v>71695.41</v>
      </c>
      <c r="I200" s="11">
        <v>35847.699999999997</v>
      </c>
      <c r="J200" s="9" t="s">
        <v>89</v>
      </c>
      <c r="K200" s="9" t="s">
        <v>44</v>
      </c>
    </row>
    <row r="201" spans="1:11" x14ac:dyDescent="0.25">
      <c r="A201" s="8" t="s">
        <v>80</v>
      </c>
      <c r="B201" s="9" t="s">
        <v>81</v>
      </c>
      <c r="C201" s="9" t="s">
        <v>49</v>
      </c>
      <c r="D201" s="9" t="s">
        <v>90</v>
      </c>
      <c r="E201" s="10">
        <v>2004</v>
      </c>
      <c r="F201" s="10">
        <v>2006</v>
      </c>
      <c r="G201" s="9" t="s">
        <v>45</v>
      </c>
      <c r="H201" s="11">
        <v>807.8</v>
      </c>
      <c r="I201" s="11">
        <v>403.9</v>
      </c>
      <c r="J201" s="9" t="s">
        <v>89</v>
      </c>
      <c r="K201" s="9" t="s">
        <v>44</v>
      </c>
    </row>
    <row r="202" spans="1:11" x14ac:dyDescent="0.25">
      <c r="A202" s="8" t="s">
        <v>80</v>
      </c>
      <c r="B202" s="9" t="s">
        <v>81</v>
      </c>
      <c r="C202" s="9" t="s">
        <v>49</v>
      </c>
      <c r="D202" s="9" t="s">
        <v>90</v>
      </c>
      <c r="E202" s="10">
        <v>2004</v>
      </c>
      <c r="F202" s="10">
        <v>2006</v>
      </c>
      <c r="G202" s="9" t="s">
        <v>46</v>
      </c>
      <c r="H202" s="11">
        <v>215977.5</v>
      </c>
      <c r="I202" s="11">
        <v>107988.75</v>
      </c>
      <c r="J202" s="9" t="s">
        <v>89</v>
      </c>
      <c r="K202" s="9" t="s">
        <v>44</v>
      </c>
    </row>
    <row r="203" spans="1:11" x14ac:dyDescent="0.25">
      <c r="A203" s="8" t="s">
        <v>80</v>
      </c>
      <c r="B203" s="9" t="s">
        <v>81</v>
      </c>
      <c r="C203" s="9" t="s">
        <v>49</v>
      </c>
      <c r="D203" s="9" t="s">
        <v>90</v>
      </c>
      <c r="E203" s="10">
        <v>2004</v>
      </c>
      <c r="F203" s="10">
        <v>2006</v>
      </c>
      <c r="G203" s="9" t="s">
        <v>64</v>
      </c>
      <c r="H203" s="11">
        <v>2.68</v>
      </c>
      <c r="I203" s="11">
        <v>1.34</v>
      </c>
      <c r="J203" s="9" t="s">
        <v>89</v>
      </c>
      <c r="K203" s="9" t="s">
        <v>44</v>
      </c>
    </row>
    <row r="204" spans="1:11" x14ac:dyDescent="0.25">
      <c r="A204" s="8" t="s">
        <v>80</v>
      </c>
      <c r="B204" s="9" t="s">
        <v>81</v>
      </c>
      <c r="C204" s="9" t="s">
        <v>49</v>
      </c>
      <c r="D204" s="9" t="s">
        <v>90</v>
      </c>
      <c r="E204" s="10">
        <v>2004</v>
      </c>
      <c r="F204" s="10">
        <v>2006</v>
      </c>
      <c r="G204" s="9" t="s">
        <v>50</v>
      </c>
      <c r="H204" s="11">
        <v>164.35</v>
      </c>
      <c r="I204" s="11">
        <v>82.18</v>
      </c>
      <c r="J204" s="9" t="s">
        <v>89</v>
      </c>
      <c r="K204" s="9" t="s">
        <v>44</v>
      </c>
    </row>
    <row r="205" spans="1:11" x14ac:dyDescent="0.25">
      <c r="A205" s="8" t="s">
        <v>82</v>
      </c>
      <c r="B205" s="9" t="s">
        <v>83</v>
      </c>
      <c r="C205" s="9" t="s">
        <v>40</v>
      </c>
      <c r="D205" s="9" t="s">
        <v>90</v>
      </c>
      <c r="E205" s="10">
        <v>2004</v>
      </c>
      <c r="F205" s="10">
        <v>2006</v>
      </c>
      <c r="G205" s="9" t="s">
        <v>42</v>
      </c>
      <c r="H205" s="11">
        <v>4592.13</v>
      </c>
      <c r="I205" s="11">
        <v>2296.06</v>
      </c>
      <c r="J205" s="9" t="s">
        <v>89</v>
      </c>
      <c r="K205" s="9" t="s">
        <v>44</v>
      </c>
    </row>
    <row r="206" spans="1:11" x14ac:dyDescent="0.25">
      <c r="A206" s="8" t="s">
        <v>82</v>
      </c>
      <c r="B206" s="9" t="s">
        <v>83</v>
      </c>
      <c r="C206" s="9" t="s">
        <v>40</v>
      </c>
      <c r="D206" s="9" t="s">
        <v>90</v>
      </c>
      <c r="E206" s="10">
        <v>2004</v>
      </c>
      <c r="F206" s="10">
        <v>2006</v>
      </c>
      <c r="G206" s="9" t="s">
        <v>45</v>
      </c>
      <c r="H206" s="11">
        <v>6.27</v>
      </c>
      <c r="I206" s="11">
        <v>3.14</v>
      </c>
      <c r="J206" s="9" t="s">
        <v>89</v>
      </c>
      <c r="K206" s="9" t="s">
        <v>44</v>
      </c>
    </row>
    <row r="207" spans="1:11" x14ac:dyDescent="0.25">
      <c r="A207" s="8" t="s">
        <v>82</v>
      </c>
      <c r="B207" s="9" t="s">
        <v>83</v>
      </c>
      <c r="C207" s="9" t="s">
        <v>40</v>
      </c>
      <c r="D207" s="9" t="s">
        <v>90</v>
      </c>
      <c r="E207" s="10">
        <v>2004</v>
      </c>
      <c r="F207" s="10">
        <v>2006</v>
      </c>
      <c r="G207" s="9" t="s">
        <v>46</v>
      </c>
      <c r="H207" s="11">
        <v>21966.12</v>
      </c>
      <c r="I207" s="11">
        <v>10983.06</v>
      </c>
      <c r="J207" s="9" t="s">
        <v>89</v>
      </c>
      <c r="K207" s="9" t="s">
        <v>44</v>
      </c>
    </row>
    <row r="208" spans="1:11" x14ac:dyDescent="0.25">
      <c r="A208" s="8" t="s">
        <v>84</v>
      </c>
      <c r="B208" s="9" t="s">
        <v>85</v>
      </c>
      <c r="C208" s="9" t="s">
        <v>85</v>
      </c>
      <c r="D208" s="9" t="s">
        <v>90</v>
      </c>
      <c r="E208" s="10">
        <v>2004</v>
      </c>
      <c r="F208" s="10">
        <v>2006</v>
      </c>
      <c r="G208" s="9" t="s">
        <v>42</v>
      </c>
      <c r="H208" s="11">
        <v>168299.74</v>
      </c>
      <c r="I208" s="11">
        <v>84149.87</v>
      </c>
      <c r="J208" s="9" t="s">
        <v>89</v>
      </c>
      <c r="K208" s="9" t="s">
        <v>44</v>
      </c>
    </row>
    <row r="209" spans="1:11" x14ac:dyDescent="0.25">
      <c r="A209" s="8" t="s">
        <v>84</v>
      </c>
      <c r="B209" s="9" t="s">
        <v>85</v>
      </c>
      <c r="C209" s="9" t="s">
        <v>85</v>
      </c>
      <c r="D209" s="9" t="s">
        <v>90</v>
      </c>
      <c r="E209" s="10">
        <v>2004</v>
      </c>
      <c r="F209" s="10">
        <v>2006</v>
      </c>
      <c r="G209" s="9" t="s">
        <v>45</v>
      </c>
      <c r="H209" s="11">
        <v>309.31</v>
      </c>
      <c r="I209" s="11">
        <v>154.66</v>
      </c>
      <c r="J209" s="9" t="s">
        <v>89</v>
      </c>
      <c r="K209" s="9" t="s">
        <v>44</v>
      </c>
    </row>
    <row r="210" spans="1:11" x14ac:dyDescent="0.25">
      <c r="A210" s="8" t="s">
        <v>84</v>
      </c>
      <c r="B210" s="9" t="s">
        <v>85</v>
      </c>
      <c r="C210" s="9" t="s">
        <v>85</v>
      </c>
      <c r="D210" s="9" t="s">
        <v>90</v>
      </c>
      <c r="E210" s="10">
        <v>2004</v>
      </c>
      <c r="F210" s="10">
        <v>2006</v>
      </c>
      <c r="G210" s="9" t="s">
        <v>46</v>
      </c>
      <c r="H210" s="11">
        <v>78174.69</v>
      </c>
      <c r="I210" s="11">
        <v>39087.339999999997</v>
      </c>
      <c r="J210" s="9" t="s">
        <v>89</v>
      </c>
      <c r="K210" s="9" t="s">
        <v>44</v>
      </c>
    </row>
    <row r="211" spans="1:11" x14ac:dyDescent="0.25">
      <c r="A211" s="8" t="s">
        <v>84</v>
      </c>
      <c r="B211" s="9" t="s">
        <v>85</v>
      </c>
      <c r="C211" s="9" t="s">
        <v>85</v>
      </c>
      <c r="D211" s="9" t="s">
        <v>90</v>
      </c>
      <c r="E211" s="10">
        <v>2004</v>
      </c>
      <c r="F211" s="10">
        <v>2006</v>
      </c>
      <c r="G211" s="9" t="s">
        <v>50</v>
      </c>
      <c r="H211" s="11">
        <v>7478.39</v>
      </c>
      <c r="I211" s="11">
        <v>3739.2</v>
      </c>
      <c r="J211" s="9" t="s">
        <v>89</v>
      </c>
      <c r="K211" s="9" t="s">
        <v>44</v>
      </c>
    </row>
    <row r="212" spans="1:11" x14ac:dyDescent="0.25">
      <c r="A212" s="8" t="s">
        <v>86</v>
      </c>
      <c r="B212" s="9" t="s">
        <v>87</v>
      </c>
      <c r="C212" s="9" t="s">
        <v>69</v>
      </c>
      <c r="D212" s="9" t="s">
        <v>90</v>
      </c>
      <c r="E212" s="10">
        <v>2004</v>
      </c>
      <c r="F212" s="10">
        <v>2006</v>
      </c>
      <c r="G212" s="9" t="s">
        <v>42</v>
      </c>
      <c r="H212" s="11">
        <v>141486.91</v>
      </c>
      <c r="I212" s="11">
        <v>70743.460000000006</v>
      </c>
      <c r="J212" s="9" t="s">
        <v>89</v>
      </c>
      <c r="K212" s="9" t="s">
        <v>44</v>
      </c>
    </row>
    <row r="213" spans="1:11" x14ac:dyDescent="0.25">
      <c r="A213" s="8" t="s">
        <v>86</v>
      </c>
      <c r="B213" s="9" t="s">
        <v>87</v>
      </c>
      <c r="C213" s="9" t="s">
        <v>69</v>
      </c>
      <c r="D213" s="9" t="s">
        <v>90</v>
      </c>
      <c r="E213" s="10">
        <v>2004</v>
      </c>
      <c r="F213" s="10">
        <v>2006</v>
      </c>
      <c r="G213" s="9" t="s">
        <v>45</v>
      </c>
      <c r="H213" s="11">
        <v>101.31</v>
      </c>
      <c r="I213" s="11">
        <v>50.66</v>
      </c>
      <c r="J213" s="9" t="s">
        <v>89</v>
      </c>
      <c r="K213" s="9" t="s">
        <v>44</v>
      </c>
    </row>
    <row r="214" spans="1:11" x14ac:dyDescent="0.25">
      <c r="A214" s="8" t="s">
        <v>86</v>
      </c>
      <c r="B214" s="9" t="s">
        <v>87</v>
      </c>
      <c r="C214" s="9" t="s">
        <v>69</v>
      </c>
      <c r="D214" s="9" t="s">
        <v>90</v>
      </c>
      <c r="E214" s="10">
        <v>2004</v>
      </c>
      <c r="F214" s="10">
        <v>2006</v>
      </c>
      <c r="G214" s="9" t="s">
        <v>46</v>
      </c>
      <c r="H214" s="11">
        <v>15595.69</v>
      </c>
      <c r="I214" s="11">
        <v>7797.84</v>
      </c>
      <c r="J214" s="9" t="s">
        <v>89</v>
      </c>
      <c r="K214" s="9" t="s">
        <v>44</v>
      </c>
    </row>
    <row r="215" spans="1:11" x14ac:dyDescent="0.25">
      <c r="A215" s="8" t="s">
        <v>86</v>
      </c>
      <c r="B215" s="9" t="s">
        <v>87</v>
      </c>
      <c r="C215" s="9" t="s">
        <v>69</v>
      </c>
      <c r="D215" s="9" t="s">
        <v>90</v>
      </c>
      <c r="E215" s="10">
        <v>2004</v>
      </c>
      <c r="F215" s="10">
        <v>2006</v>
      </c>
      <c r="G215" s="9" t="s">
        <v>50</v>
      </c>
      <c r="H215" s="11">
        <v>8258.5400000000009</v>
      </c>
      <c r="I215" s="11">
        <v>4129.2700000000004</v>
      </c>
      <c r="J215" s="9" t="s">
        <v>89</v>
      </c>
      <c r="K215" s="9" t="s">
        <v>44</v>
      </c>
    </row>
    <row r="216" spans="1:11" x14ac:dyDescent="0.25">
      <c r="A216" s="8" t="s">
        <v>38</v>
      </c>
      <c r="B216" s="9" t="s">
        <v>39</v>
      </c>
      <c r="C216" s="9" t="s">
        <v>40</v>
      </c>
      <c r="D216" s="9" t="s">
        <v>91</v>
      </c>
      <c r="E216" s="10">
        <v>2006</v>
      </c>
      <c r="F216" s="10">
        <v>2008</v>
      </c>
      <c r="G216" s="9" t="s">
        <v>42</v>
      </c>
      <c r="H216" s="11">
        <v>13394.75</v>
      </c>
      <c r="I216" s="11">
        <v>6697.38</v>
      </c>
      <c r="J216" s="9" t="s">
        <v>89</v>
      </c>
      <c r="K216" s="9" t="s">
        <v>44</v>
      </c>
    </row>
    <row r="217" spans="1:11" x14ac:dyDescent="0.25">
      <c r="A217" s="8" t="s">
        <v>38</v>
      </c>
      <c r="B217" s="9" t="s">
        <v>39</v>
      </c>
      <c r="C217" s="9" t="s">
        <v>40</v>
      </c>
      <c r="D217" s="9" t="s">
        <v>91</v>
      </c>
      <c r="E217" s="10">
        <v>2006</v>
      </c>
      <c r="F217" s="10">
        <v>2008</v>
      </c>
      <c r="G217" s="9" t="s">
        <v>45</v>
      </c>
      <c r="H217" s="11">
        <v>1.47</v>
      </c>
      <c r="I217" s="11">
        <v>0.74</v>
      </c>
      <c r="J217" s="9" t="s">
        <v>89</v>
      </c>
      <c r="K217" s="9" t="s">
        <v>44</v>
      </c>
    </row>
    <row r="218" spans="1:11" x14ac:dyDescent="0.25">
      <c r="A218" s="8" t="s">
        <v>38</v>
      </c>
      <c r="B218" s="9" t="s">
        <v>39</v>
      </c>
      <c r="C218" s="9" t="s">
        <v>40</v>
      </c>
      <c r="D218" s="9" t="s">
        <v>91</v>
      </c>
      <c r="E218" s="10">
        <v>2006</v>
      </c>
      <c r="F218" s="10">
        <v>2008</v>
      </c>
      <c r="G218" s="9" t="s">
        <v>46</v>
      </c>
      <c r="H218" s="11">
        <v>16266.78</v>
      </c>
      <c r="I218" s="11">
        <v>8133.39</v>
      </c>
      <c r="J218" s="9" t="s">
        <v>89</v>
      </c>
      <c r="K218" s="9" t="s">
        <v>44</v>
      </c>
    </row>
    <row r="219" spans="1:11" x14ac:dyDescent="0.25">
      <c r="A219" s="8" t="s">
        <v>47</v>
      </c>
      <c r="B219" s="9" t="s">
        <v>48</v>
      </c>
      <c r="C219" s="9" t="s">
        <v>49</v>
      </c>
      <c r="D219" s="9" t="s">
        <v>91</v>
      </c>
      <c r="E219" s="10">
        <v>2006</v>
      </c>
      <c r="F219" s="10">
        <v>2008</v>
      </c>
      <c r="G219" s="9" t="s">
        <v>42</v>
      </c>
      <c r="H219" s="11">
        <v>17510.36</v>
      </c>
      <c r="I219" s="11">
        <v>8755.18</v>
      </c>
      <c r="J219" s="9" t="s">
        <v>89</v>
      </c>
      <c r="K219" s="9" t="s">
        <v>44</v>
      </c>
    </row>
    <row r="220" spans="1:11" x14ac:dyDescent="0.25">
      <c r="A220" s="8" t="s">
        <v>47</v>
      </c>
      <c r="B220" s="9" t="s">
        <v>48</v>
      </c>
      <c r="C220" s="9" t="s">
        <v>49</v>
      </c>
      <c r="D220" s="9" t="s">
        <v>91</v>
      </c>
      <c r="E220" s="10">
        <v>2006</v>
      </c>
      <c r="F220" s="10">
        <v>2008</v>
      </c>
      <c r="G220" s="9" t="s">
        <v>45</v>
      </c>
      <c r="H220" s="11">
        <v>199.72</v>
      </c>
      <c r="I220" s="11">
        <v>99.86</v>
      </c>
      <c r="J220" s="9" t="s">
        <v>89</v>
      </c>
      <c r="K220" s="9" t="s">
        <v>44</v>
      </c>
    </row>
    <row r="221" spans="1:11" x14ac:dyDescent="0.25">
      <c r="A221" s="8" t="s">
        <v>47</v>
      </c>
      <c r="B221" s="9" t="s">
        <v>48</v>
      </c>
      <c r="C221" s="9" t="s">
        <v>49</v>
      </c>
      <c r="D221" s="9" t="s">
        <v>91</v>
      </c>
      <c r="E221" s="10">
        <v>2006</v>
      </c>
      <c r="F221" s="10">
        <v>2008</v>
      </c>
      <c r="G221" s="9" t="s">
        <v>46</v>
      </c>
      <c r="H221" s="11">
        <v>35442.980000000003</v>
      </c>
      <c r="I221" s="11">
        <v>17721.490000000002</v>
      </c>
      <c r="J221" s="9" t="s">
        <v>89</v>
      </c>
      <c r="K221" s="9" t="s">
        <v>44</v>
      </c>
    </row>
    <row r="222" spans="1:11" x14ac:dyDescent="0.25">
      <c r="A222" s="8" t="s">
        <v>47</v>
      </c>
      <c r="B222" s="9" t="s">
        <v>48</v>
      </c>
      <c r="C222" s="9" t="s">
        <v>49</v>
      </c>
      <c r="D222" s="9" t="s">
        <v>91</v>
      </c>
      <c r="E222" s="10">
        <v>2006</v>
      </c>
      <c r="F222" s="10">
        <v>2008</v>
      </c>
      <c r="G222" s="9" t="s">
        <v>50</v>
      </c>
      <c r="H222" s="11">
        <v>128.05000000000001</v>
      </c>
      <c r="I222" s="11">
        <v>64.03</v>
      </c>
      <c r="J222" s="9" t="s">
        <v>89</v>
      </c>
      <c r="K222" s="9" t="s">
        <v>44</v>
      </c>
    </row>
    <row r="223" spans="1:11" x14ac:dyDescent="0.25">
      <c r="A223" s="8" t="s">
        <v>51</v>
      </c>
      <c r="B223" s="9" t="s">
        <v>52</v>
      </c>
      <c r="C223" s="9" t="s">
        <v>53</v>
      </c>
      <c r="D223" s="9" t="s">
        <v>91</v>
      </c>
      <c r="E223" s="10">
        <v>2006</v>
      </c>
      <c r="F223" s="10">
        <v>2008</v>
      </c>
      <c r="G223" s="9" t="s">
        <v>42</v>
      </c>
      <c r="H223" s="11">
        <v>984.1</v>
      </c>
      <c r="I223" s="11">
        <v>492.05</v>
      </c>
      <c r="J223" s="9" t="s">
        <v>89</v>
      </c>
      <c r="K223" s="9" t="s">
        <v>44</v>
      </c>
    </row>
    <row r="224" spans="1:11" x14ac:dyDescent="0.25">
      <c r="A224" s="8" t="s">
        <v>51</v>
      </c>
      <c r="B224" s="9" t="s">
        <v>52</v>
      </c>
      <c r="C224" s="9" t="s">
        <v>53</v>
      </c>
      <c r="D224" s="9" t="s">
        <v>91</v>
      </c>
      <c r="E224" s="10">
        <v>2006</v>
      </c>
      <c r="F224" s="10">
        <v>2008</v>
      </c>
      <c r="G224" s="9" t="s">
        <v>45</v>
      </c>
      <c r="H224" s="11">
        <v>82.77</v>
      </c>
      <c r="I224" s="11">
        <v>41.38</v>
      </c>
      <c r="J224" s="9" t="s">
        <v>89</v>
      </c>
      <c r="K224" s="9" t="s">
        <v>44</v>
      </c>
    </row>
    <row r="225" spans="1:11" x14ac:dyDescent="0.25">
      <c r="A225" s="8" t="s">
        <v>51</v>
      </c>
      <c r="B225" s="9" t="s">
        <v>52</v>
      </c>
      <c r="C225" s="9" t="s">
        <v>53</v>
      </c>
      <c r="D225" s="9" t="s">
        <v>91</v>
      </c>
      <c r="E225" s="10">
        <v>2006</v>
      </c>
      <c r="F225" s="10">
        <v>2008</v>
      </c>
      <c r="G225" s="9" t="s">
        <v>46</v>
      </c>
      <c r="H225" s="11">
        <v>72998.350000000006</v>
      </c>
      <c r="I225" s="11">
        <v>36499.18</v>
      </c>
      <c r="J225" s="9" t="s">
        <v>89</v>
      </c>
      <c r="K225" s="9" t="s">
        <v>44</v>
      </c>
    </row>
    <row r="226" spans="1:11" x14ac:dyDescent="0.25">
      <c r="A226" s="8" t="s">
        <v>54</v>
      </c>
      <c r="B226" s="9" t="s">
        <v>55</v>
      </c>
      <c r="C226" s="9" t="s">
        <v>49</v>
      </c>
      <c r="D226" s="9" t="s">
        <v>91</v>
      </c>
      <c r="E226" s="10">
        <v>2006</v>
      </c>
      <c r="F226" s="10">
        <v>2008</v>
      </c>
      <c r="G226" s="9" t="s">
        <v>42</v>
      </c>
      <c r="H226" s="11">
        <v>6381.94</v>
      </c>
      <c r="I226" s="11">
        <v>3190.97</v>
      </c>
      <c r="J226" s="9" t="s">
        <v>89</v>
      </c>
      <c r="K226" s="9" t="s">
        <v>44</v>
      </c>
    </row>
    <row r="227" spans="1:11" x14ac:dyDescent="0.25">
      <c r="A227" s="8" t="s">
        <v>54</v>
      </c>
      <c r="B227" s="9" t="s">
        <v>55</v>
      </c>
      <c r="C227" s="9" t="s">
        <v>49</v>
      </c>
      <c r="D227" s="9" t="s">
        <v>91</v>
      </c>
      <c r="E227" s="10">
        <v>2006</v>
      </c>
      <c r="F227" s="10">
        <v>2008</v>
      </c>
      <c r="G227" s="9" t="s">
        <v>45</v>
      </c>
      <c r="H227" s="11">
        <v>122.76</v>
      </c>
      <c r="I227" s="11">
        <v>61.38</v>
      </c>
      <c r="J227" s="9" t="s">
        <v>89</v>
      </c>
      <c r="K227" s="9" t="s">
        <v>44</v>
      </c>
    </row>
    <row r="228" spans="1:11" x14ac:dyDescent="0.25">
      <c r="A228" s="8" t="s">
        <v>54</v>
      </c>
      <c r="B228" s="9" t="s">
        <v>55</v>
      </c>
      <c r="C228" s="9" t="s">
        <v>49</v>
      </c>
      <c r="D228" s="9" t="s">
        <v>91</v>
      </c>
      <c r="E228" s="10">
        <v>2006</v>
      </c>
      <c r="F228" s="10">
        <v>2008</v>
      </c>
      <c r="G228" s="9" t="s">
        <v>46</v>
      </c>
      <c r="H228" s="11">
        <v>31739.7</v>
      </c>
      <c r="I228" s="11">
        <v>15869.85</v>
      </c>
      <c r="J228" s="9" t="s">
        <v>89</v>
      </c>
      <c r="K228" s="9" t="s">
        <v>44</v>
      </c>
    </row>
    <row r="229" spans="1:11" x14ac:dyDescent="0.25">
      <c r="A229" s="8" t="s">
        <v>54</v>
      </c>
      <c r="B229" s="9" t="s">
        <v>55</v>
      </c>
      <c r="C229" s="9" t="s">
        <v>49</v>
      </c>
      <c r="D229" s="9" t="s">
        <v>91</v>
      </c>
      <c r="E229" s="10">
        <v>2006</v>
      </c>
      <c r="F229" s="10">
        <v>2008</v>
      </c>
      <c r="G229" s="9" t="s">
        <v>50</v>
      </c>
      <c r="H229" s="11">
        <v>118.91</v>
      </c>
      <c r="I229" s="11">
        <v>59.46</v>
      </c>
      <c r="J229" s="9" t="s">
        <v>89</v>
      </c>
      <c r="K229" s="9" t="s">
        <v>44</v>
      </c>
    </row>
    <row r="230" spans="1:11" x14ac:dyDescent="0.25">
      <c r="A230" s="8" t="s">
        <v>56</v>
      </c>
      <c r="B230" s="9" t="s">
        <v>57</v>
      </c>
      <c r="C230" s="9" t="s">
        <v>40</v>
      </c>
      <c r="D230" s="9" t="s">
        <v>91</v>
      </c>
      <c r="E230" s="10">
        <v>2006</v>
      </c>
      <c r="F230" s="10">
        <v>2008</v>
      </c>
      <c r="G230" s="9" t="s">
        <v>42</v>
      </c>
      <c r="H230" s="11">
        <v>11869.18</v>
      </c>
      <c r="I230" s="11">
        <v>5934.59</v>
      </c>
      <c r="J230" s="9" t="s">
        <v>89</v>
      </c>
      <c r="K230" s="9" t="s">
        <v>44</v>
      </c>
    </row>
    <row r="231" spans="1:11" x14ac:dyDescent="0.25">
      <c r="A231" s="8" t="s">
        <v>56</v>
      </c>
      <c r="B231" s="9" t="s">
        <v>57</v>
      </c>
      <c r="C231" s="9" t="s">
        <v>40</v>
      </c>
      <c r="D231" s="9" t="s">
        <v>91</v>
      </c>
      <c r="E231" s="10">
        <v>2006</v>
      </c>
      <c r="F231" s="10">
        <v>2008</v>
      </c>
      <c r="G231" s="9" t="s">
        <v>45</v>
      </c>
      <c r="H231" s="11">
        <v>21.57</v>
      </c>
      <c r="I231" s="11">
        <v>10.78</v>
      </c>
      <c r="J231" s="9" t="s">
        <v>89</v>
      </c>
      <c r="K231" s="9" t="s">
        <v>44</v>
      </c>
    </row>
    <row r="232" spans="1:11" x14ac:dyDescent="0.25">
      <c r="A232" s="8" t="s">
        <v>56</v>
      </c>
      <c r="B232" s="9" t="s">
        <v>57</v>
      </c>
      <c r="C232" s="9" t="s">
        <v>40</v>
      </c>
      <c r="D232" s="9" t="s">
        <v>91</v>
      </c>
      <c r="E232" s="10">
        <v>2006</v>
      </c>
      <c r="F232" s="10">
        <v>2008</v>
      </c>
      <c r="G232" s="9" t="s">
        <v>46</v>
      </c>
      <c r="H232" s="11">
        <v>24554.38</v>
      </c>
      <c r="I232" s="11">
        <v>12277.19</v>
      </c>
      <c r="J232" s="9" t="s">
        <v>89</v>
      </c>
      <c r="K232" s="9" t="s">
        <v>44</v>
      </c>
    </row>
    <row r="233" spans="1:11" x14ac:dyDescent="0.25">
      <c r="A233" s="8" t="s">
        <v>58</v>
      </c>
      <c r="B233" s="9" t="s">
        <v>59</v>
      </c>
      <c r="C233" s="9" t="s">
        <v>49</v>
      </c>
      <c r="D233" s="9" t="s">
        <v>91</v>
      </c>
      <c r="E233" s="10">
        <v>2006</v>
      </c>
      <c r="F233" s="10">
        <v>2008</v>
      </c>
      <c r="G233" s="9" t="s">
        <v>42</v>
      </c>
      <c r="H233" s="11">
        <v>20543.72</v>
      </c>
      <c r="I233" s="11">
        <v>10271.86</v>
      </c>
      <c r="J233" s="9" t="s">
        <v>89</v>
      </c>
      <c r="K233" s="9" t="s">
        <v>44</v>
      </c>
    </row>
    <row r="234" spans="1:11" x14ac:dyDescent="0.25">
      <c r="A234" s="8" t="s">
        <v>58</v>
      </c>
      <c r="B234" s="9" t="s">
        <v>59</v>
      </c>
      <c r="C234" s="9" t="s">
        <v>49</v>
      </c>
      <c r="D234" s="9" t="s">
        <v>91</v>
      </c>
      <c r="E234" s="10">
        <v>2006</v>
      </c>
      <c r="F234" s="10">
        <v>2008</v>
      </c>
      <c r="G234" s="9" t="s">
        <v>45</v>
      </c>
      <c r="H234" s="11">
        <v>138.08000000000001</v>
      </c>
      <c r="I234" s="11">
        <v>69.040000000000006</v>
      </c>
      <c r="J234" s="9" t="s">
        <v>89</v>
      </c>
      <c r="K234" s="9" t="s">
        <v>44</v>
      </c>
    </row>
    <row r="235" spans="1:11" x14ac:dyDescent="0.25">
      <c r="A235" s="8" t="s">
        <v>58</v>
      </c>
      <c r="B235" s="9" t="s">
        <v>59</v>
      </c>
      <c r="C235" s="9" t="s">
        <v>49</v>
      </c>
      <c r="D235" s="9" t="s">
        <v>91</v>
      </c>
      <c r="E235" s="10">
        <v>2006</v>
      </c>
      <c r="F235" s="10">
        <v>2008</v>
      </c>
      <c r="G235" s="9" t="s">
        <v>46</v>
      </c>
      <c r="H235" s="11">
        <v>49585.13</v>
      </c>
      <c r="I235" s="11">
        <v>24792.560000000001</v>
      </c>
      <c r="J235" s="9" t="s">
        <v>89</v>
      </c>
      <c r="K235" s="9" t="s">
        <v>44</v>
      </c>
    </row>
    <row r="236" spans="1:11" x14ac:dyDescent="0.25">
      <c r="A236" s="8" t="s">
        <v>58</v>
      </c>
      <c r="B236" s="9" t="s">
        <v>59</v>
      </c>
      <c r="C236" s="9" t="s">
        <v>49</v>
      </c>
      <c r="D236" s="9" t="s">
        <v>91</v>
      </c>
      <c r="E236" s="10">
        <v>2006</v>
      </c>
      <c r="F236" s="10">
        <v>2008</v>
      </c>
      <c r="G236" s="9" t="s">
        <v>50</v>
      </c>
      <c r="H236" s="11">
        <v>194.96</v>
      </c>
      <c r="I236" s="11">
        <v>97.48</v>
      </c>
      <c r="J236" s="9" t="s">
        <v>89</v>
      </c>
      <c r="K236" s="9" t="s">
        <v>44</v>
      </c>
    </row>
    <row r="237" spans="1:11" x14ac:dyDescent="0.25">
      <c r="A237" s="8" t="s">
        <v>60</v>
      </c>
      <c r="B237" s="9" t="s">
        <v>61</v>
      </c>
      <c r="C237" s="9" t="s">
        <v>40</v>
      </c>
      <c r="D237" s="9" t="s">
        <v>91</v>
      </c>
      <c r="E237" s="10">
        <v>2006</v>
      </c>
      <c r="F237" s="10">
        <v>2008</v>
      </c>
      <c r="G237" s="9" t="s">
        <v>42</v>
      </c>
      <c r="H237" s="11">
        <v>142811.72</v>
      </c>
      <c r="I237" s="11">
        <v>71405.86</v>
      </c>
      <c r="J237" s="9" t="s">
        <v>89</v>
      </c>
      <c r="K237" s="9" t="s">
        <v>44</v>
      </c>
    </row>
    <row r="238" spans="1:11" x14ac:dyDescent="0.25">
      <c r="A238" s="8" t="s">
        <v>60</v>
      </c>
      <c r="B238" s="9" t="s">
        <v>61</v>
      </c>
      <c r="C238" s="9" t="s">
        <v>40</v>
      </c>
      <c r="D238" s="9" t="s">
        <v>91</v>
      </c>
      <c r="E238" s="10">
        <v>2006</v>
      </c>
      <c r="F238" s="10">
        <v>2008</v>
      </c>
      <c r="G238" s="9" t="s">
        <v>45</v>
      </c>
      <c r="H238" s="11">
        <v>174.58</v>
      </c>
      <c r="I238" s="11">
        <v>87.29</v>
      </c>
      <c r="J238" s="9" t="s">
        <v>89</v>
      </c>
      <c r="K238" s="9" t="s">
        <v>44</v>
      </c>
    </row>
    <row r="239" spans="1:11" x14ac:dyDescent="0.25">
      <c r="A239" s="8" t="s">
        <v>60</v>
      </c>
      <c r="B239" s="9" t="s">
        <v>61</v>
      </c>
      <c r="C239" s="9" t="s">
        <v>40</v>
      </c>
      <c r="D239" s="9" t="s">
        <v>91</v>
      </c>
      <c r="E239" s="10">
        <v>2006</v>
      </c>
      <c r="F239" s="10">
        <v>2008</v>
      </c>
      <c r="G239" s="9" t="s">
        <v>46</v>
      </c>
      <c r="H239" s="11">
        <v>49325.73</v>
      </c>
      <c r="I239" s="11">
        <v>24662.86</v>
      </c>
      <c r="J239" s="9" t="s">
        <v>89</v>
      </c>
      <c r="K239" s="9" t="s">
        <v>44</v>
      </c>
    </row>
    <row r="240" spans="1:11" x14ac:dyDescent="0.25">
      <c r="A240" s="8" t="s">
        <v>60</v>
      </c>
      <c r="B240" s="9" t="s">
        <v>61</v>
      </c>
      <c r="C240" s="9" t="s">
        <v>40</v>
      </c>
      <c r="D240" s="9" t="s">
        <v>91</v>
      </c>
      <c r="E240" s="10">
        <v>2006</v>
      </c>
      <c r="F240" s="10">
        <v>2008</v>
      </c>
      <c r="G240" s="9" t="s">
        <v>50</v>
      </c>
      <c r="H240" s="11">
        <v>2610.0700000000002</v>
      </c>
      <c r="I240" s="11">
        <v>1305.04</v>
      </c>
      <c r="J240" s="9" t="s">
        <v>89</v>
      </c>
      <c r="K240" s="9" t="s">
        <v>44</v>
      </c>
    </row>
    <row r="241" spans="1:11" x14ac:dyDescent="0.25">
      <c r="A241" s="8" t="s">
        <v>62</v>
      </c>
      <c r="B241" s="9" t="s">
        <v>63</v>
      </c>
      <c r="C241" s="9" t="s">
        <v>40</v>
      </c>
      <c r="D241" s="9" t="s">
        <v>91</v>
      </c>
      <c r="E241" s="10">
        <v>2006</v>
      </c>
      <c r="F241" s="10">
        <v>2008</v>
      </c>
      <c r="G241" s="9" t="s">
        <v>42</v>
      </c>
      <c r="H241" s="11">
        <v>92024.28</v>
      </c>
      <c r="I241" s="11">
        <v>46012.14</v>
      </c>
      <c r="J241" s="9" t="s">
        <v>89</v>
      </c>
      <c r="K241" s="9" t="s">
        <v>44</v>
      </c>
    </row>
    <row r="242" spans="1:11" x14ac:dyDescent="0.25">
      <c r="A242" s="8" t="s">
        <v>62</v>
      </c>
      <c r="B242" s="9" t="s">
        <v>63</v>
      </c>
      <c r="C242" s="9" t="s">
        <v>40</v>
      </c>
      <c r="D242" s="9" t="s">
        <v>91</v>
      </c>
      <c r="E242" s="10">
        <v>2006</v>
      </c>
      <c r="F242" s="10">
        <v>2008</v>
      </c>
      <c r="G242" s="9" t="s">
        <v>45</v>
      </c>
      <c r="H242" s="11">
        <v>49.27</v>
      </c>
      <c r="I242" s="11">
        <v>24.64</v>
      </c>
      <c r="J242" s="9" t="s">
        <v>89</v>
      </c>
      <c r="K242" s="9" t="s">
        <v>44</v>
      </c>
    </row>
    <row r="243" spans="1:11" x14ac:dyDescent="0.25">
      <c r="A243" s="8" t="s">
        <v>62</v>
      </c>
      <c r="B243" s="9" t="s">
        <v>63</v>
      </c>
      <c r="C243" s="9" t="s">
        <v>40</v>
      </c>
      <c r="D243" s="9" t="s">
        <v>91</v>
      </c>
      <c r="E243" s="10">
        <v>2006</v>
      </c>
      <c r="F243" s="10">
        <v>2008</v>
      </c>
      <c r="G243" s="9" t="s">
        <v>46</v>
      </c>
      <c r="H243" s="11">
        <v>45398.91</v>
      </c>
      <c r="I243" s="11">
        <v>22699.46</v>
      </c>
      <c r="J243" s="9" t="s">
        <v>89</v>
      </c>
      <c r="K243" s="9" t="s">
        <v>44</v>
      </c>
    </row>
    <row r="244" spans="1:11" x14ac:dyDescent="0.25">
      <c r="A244" s="8" t="s">
        <v>62</v>
      </c>
      <c r="B244" s="9" t="s">
        <v>63</v>
      </c>
      <c r="C244" s="9" t="s">
        <v>40</v>
      </c>
      <c r="D244" s="9" t="s">
        <v>91</v>
      </c>
      <c r="E244" s="10">
        <v>2006</v>
      </c>
      <c r="F244" s="10">
        <v>2008</v>
      </c>
      <c r="G244" s="9" t="s">
        <v>50</v>
      </c>
      <c r="H244" s="11">
        <v>753</v>
      </c>
      <c r="I244" s="11">
        <v>376.5</v>
      </c>
      <c r="J244" s="9" t="s">
        <v>89</v>
      </c>
      <c r="K244" s="9" t="s">
        <v>44</v>
      </c>
    </row>
    <row r="245" spans="1:11" x14ac:dyDescent="0.25">
      <c r="A245" s="8" t="s">
        <v>65</v>
      </c>
      <c r="B245" s="9" t="s">
        <v>66</v>
      </c>
      <c r="C245" s="9" t="s">
        <v>40</v>
      </c>
      <c r="D245" s="9" t="s">
        <v>91</v>
      </c>
      <c r="E245" s="10">
        <v>2006</v>
      </c>
      <c r="F245" s="10">
        <v>2008</v>
      </c>
      <c r="G245" s="9" t="s">
        <v>42</v>
      </c>
      <c r="H245" s="11">
        <v>1307.3699999999999</v>
      </c>
      <c r="I245" s="11">
        <v>653.67999999999995</v>
      </c>
      <c r="J245" s="9" t="s">
        <v>89</v>
      </c>
      <c r="K245" s="9" t="s">
        <v>44</v>
      </c>
    </row>
    <row r="246" spans="1:11" x14ac:dyDescent="0.25">
      <c r="A246" s="8" t="s">
        <v>65</v>
      </c>
      <c r="B246" s="9" t="s">
        <v>66</v>
      </c>
      <c r="C246" s="9" t="s">
        <v>40</v>
      </c>
      <c r="D246" s="9" t="s">
        <v>91</v>
      </c>
      <c r="E246" s="10">
        <v>2006</v>
      </c>
      <c r="F246" s="10">
        <v>2008</v>
      </c>
      <c r="G246" s="9" t="s">
        <v>46</v>
      </c>
      <c r="H246" s="11">
        <v>8023.78</v>
      </c>
      <c r="I246" s="11">
        <v>4011.89</v>
      </c>
      <c r="J246" s="9" t="s">
        <v>89</v>
      </c>
      <c r="K246" s="9" t="s">
        <v>44</v>
      </c>
    </row>
    <row r="247" spans="1:11" x14ac:dyDescent="0.25">
      <c r="A247" s="8" t="s">
        <v>65</v>
      </c>
      <c r="B247" s="9" t="s">
        <v>66</v>
      </c>
      <c r="C247" s="9" t="s">
        <v>40</v>
      </c>
      <c r="D247" s="9" t="s">
        <v>91</v>
      </c>
      <c r="E247" s="10">
        <v>2006</v>
      </c>
      <c r="F247" s="10">
        <v>2008</v>
      </c>
      <c r="G247" s="9" t="s">
        <v>50</v>
      </c>
      <c r="H247" s="11">
        <v>0.85</v>
      </c>
      <c r="I247" s="11">
        <v>0.42</v>
      </c>
      <c r="J247" s="9" t="s">
        <v>89</v>
      </c>
      <c r="K247" s="9" t="s">
        <v>44</v>
      </c>
    </row>
    <row r="248" spans="1:11" x14ac:dyDescent="0.25">
      <c r="A248" s="8" t="s">
        <v>67</v>
      </c>
      <c r="B248" s="9" t="s">
        <v>68</v>
      </c>
      <c r="C248" s="9" t="s">
        <v>69</v>
      </c>
      <c r="D248" s="9" t="s">
        <v>91</v>
      </c>
      <c r="E248" s="10">
        <v>2006</v>
      </c>
      <c r="F248" s="10">
        <v>2008</v>
      </c>
      <c r="G248" s="9" t="s">
        <v>42</v>
      </c>
      <c r="H248" s="11">
        <v>105886.42</v>
      </c>
      <c r="I248" s="11">
        <v>52943.21</v>
      </c>
      <c r="J248" s="9" t="s">
        <v>89</v>
      </c>
      <c r="K248" s="9" t="s">
        <v>44</v>
      </c>
    </row>
    <row r="249" spans="1:11" x14ac:dyDescent="0.25">
      <c r="A249" s="8" t="s">
        <v>67</v>
      </c>
      <c r="B249" s="9" t="s">
        <v>68</v>
      </c>
      <c r="C249" s="9" t="s">
        <v>69</v>
      </c>
      <c r="D249" s="9" t="s">
        <v>91</v>
      </c>
      <c r="E249" s="10">
        <v>2006</v>
      </c>
      <c r="F249" s="10">
        <v>2008</v>
      </c>
      <c r="G249" s="9" t="s">
        <v>45</v>
      </c>
      <c r="H249" s="11">
        <v>66.400000000000006</v>
      </c>
      <c r="I249" s="11">
        <v>33.200000000000003</v>
      </c>
      <c r="J249" s="9" t="s">
        <v>89</v>
      </c>
      <c r="K249" s="9" t="s">
        <v>44</v>
      </c>
    </row>
    <row r="250" spans="1:11" x14ac:dyDescent="0.25">
      <c r="A250" s="8" t="s">
        <v>67</v>
      </c>
      <c r="B250" s="9" t="s">
        <v>68</v>
      </c>
      <c r="C250" s="9" t="s">
        <v>69</v>
      </c>
      <c r="D250" s="9" t="s">
        <v>91</v>
      </c>
      <c r="E250" s="10">
        <v>2006</v>
      </c>
      <c r="F250" s="10">
        <v>2008</v>
      </c>
      <c r="G250" s="9" t="s">
        <v>46</v>
      </c>
      <c r="H250" s="11">
        <v>14487.07</v>
      </c>
      <c r="I250" s="11">
        <v>7243.54</v>
      </c>
      <c r="J250" s="9" t="s">
        <v>89</v>
      </c>
      <c r="K250" s="9" t="s">
        <v>44</v>
      </c>
    </row>
    <row r="251" spans="1:11" x14ac:dyDescent="0.25">
      <c r="A251" s="8" t="s">
        <v>67</v>
      </c>
      <c r="B251" s="9" t="s">
        <v>68</v>
      </c>
      <c r="C251" s="9" t="s">
        <v>69</v>
      </c>
      <c r="D251" s="9" t="s">
        <v>91</v>
      </c>
      <c r="E251" s="10">
        <v>2006</v>
      </c>
      <c r="F251" s="10">
        <v>2008</v>
      </c>
      <c r="G251" s="9" t="s">
        <v>64</v>
      </c>
      <c r="H251" s="11">
        <v>3.35</v>
      </c>
      <c r="I251" s="11">
        <v>1.68</v>
      </c>
      <c r="J251" s="9" t="s">
        <v>89</v>
      </c>
      <c r="K251" s="9" t="s">
        <v>44</v>
      </c>
    </row>
    <row r="252" spans="1:11" x14ac:dyDescent="0.25">
      <c r="A252" s="8" t="s">
        <v>67</v>
      </c>
      <c r="B252" s="9" t="s">
        <v>68</v>
      </c>
      <c r="C252" s="9" t="s">
        <v>69</v>
      </c>
      <c r="D252" s="9" t="s">
        <v>91</v>
      </c>
      <c r="E252" s="10">
        <v>2006</v>
      </c>
      <c r="F252" s="10">
        <v>2008</v>
      </c>
      <c r="G252" s="9" t="s">
        <v>50</v>
      </c>
      <c r="H252" s="11">
        <v>4449.41</v>
      </c>
      <c r="I252" s="11">
        <v>2224.6999999999998</v>
      </c>
      <c r="J252" s="9" t="s">
        <v>89</v>
      </c>
      <c r="K252" s="9" t="s">
        <v>44</v>
      </c>
    </row>
    <row r="253" spans="1:11" x14ac:dyDescent="0.25">
      <c r="A253" s="8" t="s">
        <v>70</v>
      </c>
      <c r="B253" s="9" t="s">
        <v>71</v>
      </c>
      <c r="C253" s="9" t="s">
        <v>49</v>
      </c>
      <c r="D253" s="9" t="s">
        <v>91</v>
      </c>
      <c r="E253" s="10">
        <v>2006</v>
      </c>
      <c r="F253" s="10">
        <v>2008</v>
      </c>
      <c r="G253" s="9" t="s">
        <v>42</v>
      </c>
      <c r="H253" s="11">
        <v>65897.05</v>
      </c>
      <c r="I253" s="11">
        <v>32948.519999999997</v>
      </c>
      <c r="J253" s="9" t="s">
        <v>89</v>
      </c>
      <c r="K253" s="9" t="s">
        <v>44</v>
      </c>
    </row>
    <row r="254" spans="1:11" x14ac:dyDescent="0.25">
      <c r="A254" s="8" t="s">
        <v>70</v>
      </c>
      <c r="B254" s="9" t="s">
        <v>71</v>
      </c>
      <c r="C254" s="9" t="s">
        <v>49</v>
      </c>
      <c r="D254" s="9" t="s">
        <v>91</v>
      </c>
      <c r="E254" s="10">
        <v>2006</v>
      </c>
      <c r="F254" s="10">
        <v>2008</v>
      </c>
      <c r="G254" s="9" t="s">
        <v>45</v>
      </c>
      <c r="H254" s="11">
        <v>368.77</v>
      </c>
      <c r="I254" s="11">
        <v>184.38</v>
      </c>
      <c r="J254" s="9" t="s">
        <v>89</v>
      </c>
      <c r="K254" s="9" t="s">
        <v>44</v>
      </c>
    </row>
    <row r="255" spans="1:11" x14ac:dyDescent="0.25">
      <c r="A255" s="8" t="s">
        <v>70</v>
      </c>
      <c r="B255" s="9" t="s">
        <v>71</v>
      </c>
      <c r="C255" s="9" t="s">
        <v>49</v>
      </c>
      <c r="D255" s="9" t="s">
        <v>91</v>
      </c>
      <c r="E255" s="10">
        <v>2006</v>
      </c>
      <c r="F255" s="10">
        <v>2008</v>
      </c>
      <c r="G255" s="9" t="s">
        <v>46</v>
      </c>
      <c r="H255" s="11">
        <v>36327.51</v>
      </c>
      <c r="I255" s="11">
        <v>18163.759999999998</v>
      </c>
      <c r="J255" s="9" t="s">
        <v>89</v>
      </c>
      <c r="K255" s="9" t="s">
        <v>44</v>
      </c>
    </row>
    <row r="256" spans="1:11" x14ac:dyDescent="0.25">
      <c r="A256" s="8" t="s">
        <v>70</v>
      </c>
      <c r="B256" s="9" t="s">
        <v>71</v>
      </c>
      <c r="C256" s="9" t="s">
        <v>49</v>
      </c>
      <c r="D256" s="9" t="s">
        <v>91</v>
      </c>
      <c r="E256" s="10">
        <v>2006</v>
      </c>
      <c r="F256" s="10">
        <v>2008</v>
      </c>
      <c r="G256" s="9" t="s">
        <v>50</v>
      </c>
      <c r="H256" s="11">
        <v>3294.82</v>
      </c>
      <c r="I256" s="11">
        <v>1647.41</v>
      </c>
      <c r="J256" s="9" t="s">
        <v>89</v>
      </c>
      <c r="K256" s="9" t="s">
        <v>44</v>
      </c>
    </row>
    <row r="257" spans="1:11" x14ac:dyDescent="0.25">
      <c r="A257" s="8" t="s">
        <v>72</v>
      </c>
      <c r="B257" s="9" t="s">
        <v>73</v>
      </c>
      <c r="C257" s="9" t="s">
        <v>53</v>
      </c>
      <c r="D257" s="9" t="s">
        <v>91</v>
      </c>
      <c r="E257" s="10">
        <v>2006</v>
      </c>
      <c r="F257" s="10">
        <v>2008</v>
      </c>
      <c r="G257" s="9" t="s">
        <v>42</v>
      </c>
      <c r="H257" s="11">
        <v>19409.150000000001</v>
      </c>
      <c r="I257" s="11">
        <v>9704.58</v>
      </c>
      <c r="J257" s="9" t="s">
        <v>89</v>
      </c>
      <c r="K257" s="9" t="s">
        <v>44</v>
      </c>
    </row>
    <row r="258" spans="1:11" x14ac:dyDescent="0.25">
      <c r="A258" s="8" t="s">
        <v>72</v>
      </c>
      <c r="B258" s="9" t="s">
        <v>73</v>
      </c>
      <c r="C258" s="9" t="s">
        <v>53</v>
      </c>
      <c r="D258" s="9" t="s">
        <v>91</v>
      </c>
      <c r="E258" s="10">
        <v>2006</v>
      </c>
      <c r="F258" s="10">
        <v>2008</v>
      </c>
      <c r="G258" s="9" t="s">
        <v>45</v>
      </c>
      <c r="H258" s="11">
        <v>397.39</v>
      </c>
      <c r="I258" s="11">
        <v>198.7</v>
      </c>
      <c r="J258" s="9" t="s">
        <v>89</v>
      </c>
      <c r="K258" s="9" t="s">
        <v>44</v>
      </c>
    </row>
    <row r="259" spans="1:11" x14ac:dyDescent="0.25">
      <c r="A259" s="8" t="s">
        <v>72</v>
      </c>
      <c r="B259" s="9" t="s">
        <v>73</v>
      </c>
      <c r="C259" s="9" t="s">
        <v>53</v>
      </c>
      <c r="D259" s="9" t="s">
        <v>91</v>
      </c>
      <c r="E259" s="10">
        <v>2006</v>
      </c>
      <c r="F259" s="10">
        <v>2008</v>
      </c>
      <c r="G259" s="9" t="s">
        <v>46</v>
      </c>
      <c r="H259" s="11">
        <v>105203.69</v>
      </c>
      <c r="I259" s="11">
        <v>52601.84</v>
      </c>
      <c r="J259" s="9" t="s">
        <v>89</v>
      </c>
      <c r="K259" s="9" t="s">
        <v>44</v>
      </c>
    </row>
    <row r="260" spans="1:11" x14ac:dyDescent="0.25">
      <c r="A260" s="8" t="s">
        <v>72</v>
      </c>
      <c r="B260" s="9" t="s">
        <v>73</v>
      </c>
      <c r="C260" s="9" t="s">
        <v>53</v>
      </c>
      <c r="D260" s="9" t="s">
        <v>91</v>
      </c>
      <c r="E260" s="10">
        <v>2006</v>
      </c>
      <c r="F260" s="10">
        <v>2008</v>
      </c>
      <c r="G260" s="9" t="s">
        <v>50</v>
      </c>
      <c r="H260" s="11">
        <v>1.36</v>
      </c>
      <c r="I260" s="11">
        <v>0.68</v>
      </c>
      <c r="J260" s="9" t="s">
        <v>89</v>
      </c>
      <c r="K260" s="9" t="s">
        <v>44</v>
      </c>
    </row>
    <row r="261" spans="1:11" x14ac:dyDescent="0.25">
      <c r="A261" s="8" t="s">
        <v>74</v>
      </c>
      <c r="B261" s="9" t="s">
        <v>75</v>
      </c>
      <c r="C261" s="9" t="s">
        <v>40</v>
      </c>
      <c r="D261" s="9" t="s">
        <v>91</v>
      </c>
      <c r="E261" s="10">
        <v>2006</v>
      </c>
      <c r="F261" s="10">
        <v>2008</v>
      </c>
      <c r="G261" s="9" t="s">
        <v>42</v>
      </c>
      <c r="H261" s="11">
        <v>14189.38</v>
      </c>
      <c r="I261" s="11">
        <v>7094.69</v>
      </c>
      <c r="J261" s="9" t="s">
        <v>89</v>
      </c>
      <c r="K261" s="9" t="s">
        <v>44</v>
      </c>
    </row>
    <row r="262" spans="1:11" x14ac:dyDescent="0.25">
      <c r="A262" s="8" t="s">
        <v>74</v>
      </c>
      <c r="B262" s="9" t="s">
        <v>75</v>
      </c>
      <c r="C262" s="9" t="s">
        <v>40</v>
      </c>
      <c r="D262" s="9" t="s">
        <v>91</v>
      </c>
      <c r="E262" s="10">
        <v>2006</v>
      </c>
      <c r="F262" s="10">
        <v>2008</v>
      </c>
      <c r="G262" s="9" t="s">
        <v>45</v>
      </c>
      <c r="H262" s="11">
        <v>5.07</v>
      </c>
      <c r="I262" s="11">
        <v>2.54</v>
      </c>
      <c r="J262" s="9" t="s">
        <v>89</v>
      </c>
      <c r="K262" s="9" t="s">
        <v>44</v>
      </c>
    </row>
    <row r="263" spans="1:11" x14ac:dyDescent="0.25">
      <c r="A263" s="8" t="s">
        <v>74</v>
      </c>
      <c r="B263" s="9" t="s">
        <v>75</v>
      </c>
      <c r="C263" s="9" t="s">
        <v>40</v>
      </c>
      <c r="D263" s="9" t="s">
        <v>91</v>
      </c>
      <c r="E263" s="10">
        <v>2006</v>
      </c>
      <c r="F263" s="10">
        <v>2008</v>
      </c>
      <c r="G263" s="9" t="s">
        <v>46</v>
      </c>
      <c r="H263" s="11">
        <v>29152.36</v>
      </c>
      <c r="I263" s="11">
        <v>14576.18</v>
      </c>
      <c r="J263" s="9" t="s">
        <v>89</v>
      </c>
      <c r="K263" s="9" t="s">
        <v>44</v>
      </c>
    </row>
    <row r="264" spans="1:11" x14ac:dyDescent="0.25">
      <c r="A264" s="8" t="s">
        <v>74</v>
      </c>
      <c r="B264" s="9" t="s">
        <v>75</v>
      </c>
      <c r="C264" s="9" t="s">
        <v>40</v>
      </c>
      <c r="D264" s="9" t="s">
        <v>91</v>
      </c>
      <c r="E264" s="10">
        <v>2006</v>
      </c>
      <c r="F264" s="10">
        <v>2008</v>
      </c>
      <c r="G264" s="9" t="s">
        <v>50</v>
      </c>
      <c r="H264" s="11">
        <v>9.3000000000000007</v>
      </c>
      <c r="I264" s="11">
        <v>4.6500000000000004</v>
      </c>
      <c r="J264" s="9" t="s">
        <v>89</v>
      </c>
      <c r="K264" s="9" t="s">
        <v>44</v>
      </c>
    </row>
    <row r="265" spans="1:11" x14ac:dyDescent="0.25">
      <c r="A265" s="8" t="s">
        <v>76</v>
      </c>
      <c r="B265" s="9" t="s">
        <v>77</v>
      </c>
      <c r="C265" s="9" t="s">
        <v>53</v>
      </c>
      <c r="D265" s="9" t="s">
        <v>91</v>
      </c>
      <c r="E265" s="10">
        <v>2006</v>
      </c>
      <c r="F265" s="10">
        <v>2008</v>
      </c>
      <c r="G265" s="9" t="s">
        <v>42</v>
      </c>
      <c r="H265" s="11">
        <v>231.73</v>
      </c>
      <c r="I265" s="11">
        <v>115.86</v>
      </c>
      <c r="J265" s="9" t="s">
        <v>89</v>
      </c>
      <c r="K265" s="9" t="s">
        <v>44</v>
      </c>
    </row>
    <row r="266" spans="1:11" x14ac:dyDescent="0.25">
      <c r="A266" s="8" t="s">
        <v>76</v>
      </c>
      <c r="B266" s="9" t="s">
        <v>77</v>
      </c>
      <c r="C266" s="9" t="s">
        <v>53</v>
      </c>
      <c r="D266" s="9" t="s">
        <v>91</v>
      </c>
      <c r="E266" s="10">
        <v>2006</v>
      </c>
      <c r="F266" s="10">
        <v>2008</v>
      </c>
      <c r="G266" s="9" t="s">
        <v>45</v>
      </c>
      <c r="H266" s="11">
        <v>1.41</v>
      </c>
      <c r="I266" s="11">
        <v>0.7</v>
      </c>
      <c r="J266" s="9" t="s">
        <v>89</v>
      </c>
      <c r="K266" s="9" t="s">
        <v>44</v>
      </c>
    </row>
    <row r="267" spans="1:11" x14ac:dyDescent="0.25">
      <c r="A267" s="8" t="s">
        <v>76</v>
      </c>
      <c r="B267" s="9" t="s">
        <v>77</v>
      </c>
      <c r="C267" s="9" t="s">
        <v>53</v>
      </c>
      <c r="D267" s="9" t="s">
        <v>91</v>
      </c>
      <c r="E267" s="10">
        <v>2006</v>
      </c>
      <c r="F267" s="10">
        <v>2008</v>
      </c>
      <c r="G267" s="9" t="s">
        <v>46</v>
      </c>
      <c r="H267" s="11">
        <v>24849.3</v>
      </c>
      <c r="I267" s="11">
        <v>12424.65</v>
      </c>
      <c r="J267" s="9" t="s">
        <v>89</v>
      </c>
      <c r="K267" s="9" t="s">
        <v>44</v>
      </c>
    </row>
    <row r="268" spans="1:11" x14ac:dyDescent="0.25">
      <c r="A268" s="8" t="s">
        <v>78</v>
      </c>
      <c r="B268" s="9" t="s">
        <v>79</v>
      </c>
      <c r="C268" s="9" t="s">
        <v>53</v>
      </c>
      <c r="D268" s="9" t="s">
        <v>91</v>
      </c>
      <c r="E268" s="10">
        <v>2006</v>
      </c>
      <c r="F268" s="10">
        <v>2008</v>
      </c>
      <c r="G268" s="9" t="s">
        <v>42</v>
      </c>
      <c r="H268" s="11">
        <v>1470.54</v>
      </c>
      <c r="I268" s="11">
        <v>735.27</v>
      </c>
      <c r="J268" s="9" t="s">
        <v>89</v>
      </c>
      <c r="K268" s="9" t="s">
        <v>44</v>
      </c>
    </row>
    <row r="269" spans="1:11" x14ac:dyDescent="0.25">
      <c r="A269" s="8" t="s">
        <v>78</v>
      </c>
      <c r="B269" s="9" t="s">
        <v>79</v>
      </c>
      <c r="C269" s="9" t="s">
        <v>53</v>
      </c>
      <c r="D269" s="9" t="s">
        <v>91</v>
      </c>
      <c r="E269" s="10">
        <v>2006</v>
      </c>
      <c r="F269" s="10">
        <v>2008</v>
      </c>
      <c r="G269" s="9" t="s">
        <v>45</v>
      </c>
      <c r="H269" s="11">
        <v>7.36</v>
      </c>
      <c r="I269" s="11">
        <v>3.68</v>
      </c>
      <c r="J269" s="9" t="s">
        <v>89</v>
      </c>
      <c r="K269" s="9" t="s">
        <v>44</v>
      </c>
    </row>
    <row r="270" spans="1:11" x14ac:dyDescent="0.25">
      <c r="A270" s="8" t="s">
        <v>78</v>
      </c>
      <c r="B270" s="9" t="s">
        <v>79</v>
      </c>
      <c r="C270" s="9" t="s">
        <v>53</v>
      </c>
      <c r="D270" s="9" t="s">
        <v>91</v>
      </c>
      <c r="E270" s="10">
        <v>2006</v>
      </c>
      <c r="F270" s="10">
        <v>2008</v>
      </c>
      <c r="G270" s="9" t="s">
        <v>46</v>
      </c>
      <c r="H270" s="11">
        <v>55037.65</v>
      </c>
      <c r="I270" s="11">
        <v>27518.82</v>
      </c>
      <c r="J270" s="9" t="s">
        <v>89</v>
      </c>
      <c r="K270" s="9" t="s">
        <v>44</v>
      </c>
    </row>
    <row r="271" spans="1:11" x14ac:dyDescent="0.25">
      <c r="A271" s="8" t="s">
        <v>78</v>
      </c>
      <c r="B271" s="9" t="s">
        <v>79</v>
      </c>
      <c r="C271" s="9" t="s">
        <v>53</v>
      </c>
      <c r="D271" s="9" t="s">
        <v>91</v>
      </c>
      <c r="E271" s="10">
        <v>2006</v>
      </c>
      <c r="F271" s="10">
        <v>2008</v>
      </c>
      <c r="G271" s="9" t="s">
        <v>50</v>
      </c>
      <c r="H271" s="11">
        <v>0.38</v>
      </c>
      <c r="I271" s="11">
        <v>0.19</v>
      </c>
      <c r="J271" s="9" t="s">
        <v>89</v>
      </c>
      <c r="K271" s="9" t="s">
        <v>44</v>
      </c>
    </row>
    <row r="272" spans="1:11" x14ac:dyDescent="0.25">
      <c r="A272" s="8" t="s">
        <v>80</v>
      </c>
      <c r="B272" s="9" t="s">
        <v>81</v>
      </c>
      <c r="C272" s="9" t="s">
        <v>49</v>
      </c>
      <c r="D272" s="9" t="s">
        <v>91</v>
      </c>
      <c r="E272" s="10">
        <v>2006</v>
      </c>
      <c r="F272" s="10">
        <v>2008</v>
      </c>
      <c r="G272" s="9" t="s">
        <v>42</v>
      </c>
      <c r="H272" s="11">
        <v>70633.600000000006</v>
      </c>
      <c r="I272" s="11">
        <v>35316.800000000003</v>
      </c>
      <c r="J272" s="9" t="s">
        <v>89</v>
      </c>
      <c r="K272" s="9" t="s">
        <v>44</v>
      </c>
    </row>
    <row r="273" spans="1:11" x14ac:dyDescent="0.25">
      <c r="A273" s="8" t="s">
        <v>80</v>
      </c>
      <c r="B273" s="9" t="s">
        <v>81</v>
      </c>
      <c r="C273" s="9" t="s">
        <v>49</v>
      </c>
      <c r="D273" s="9" t="s">
        <v>91</v>
      </c>
      <c r="E273" s="10">
        <v>2006</v>
      </c>
      <c r="F273" s="10">
        <v>2008</v>
      </c>
      <c r="G273" s="9" t="s">
        <v>45</v>
      </c>
      <c r="H273" s="11">
        <v>711.28</v>
      </c>
      <c r="I273" s="11">
        <v>355.64</v>
      </c>
      <c r="J273" s="9" t="s">
        <v>89</v>
      </c>
      <c r="K273" s="9" t="s">
        <v>44</v>
      </c>
    </row>
    <row r="274" spans="1:11" x14ac:dyDescent="0.25">
      <c r="A274" s="8" t="s">
        <v>80</v>
      </c>
      <c r="B274" s="9" t="s">
        <v>81</v>
      </c>
      <c r="C274" s="9" t="s">
        <v>49</v>
      </c>
      <c r="D274" s="9" t="s">
        <v>91</v>
      </c>
      <c r="E274" s="10">
        <v>2006</v>
      </c>
      <c r="F274" s="10">
        <v>2008</v>
      </c>
      <c r="G274" s="9" t="s">
        <v>46</v>
      </c>
      <c r="H274" s="11">
        <v>217200.47</v>
      </c>
      <c r="I274" s="11">
        <v>108600.24</v>
      </c>
      <c r="J274" s="9" t="s">
        <v>89</v>
      </c>
      <c r="K274" s="9" t="s">
        <v>44</v>
      </c>
    </row>
    <row r="275" spans="1:11" x14ac:dyDescent="0.25">
      <c r="A275" s="8" t="s">
        <v>80</v>
      </c>
      <c r="B275" s="9" t="s">
        <v>81</v>
      </c>
      <c r="C275" s="9" t="s">
        <v>49</v>
      </c>
      <c r="D275" s="9" t="s">
        <v>91</v>
      </c>
      <c r="E275" s="10">
        <v>2006</v>
      </c>
      <c r="F275" s="10">
        <v>2008</v>
      </c>
      <c r="G275" s="9" t="s">
        <v>50</v>
      </c>
      <c r="H275" s="11">
        <v>102.35</v>
      </c>
      <c r="I275" s="11">
        <v>51.18</v>
      </c>
      <c r="J275" s="9" t="s">
        <v>89</v>
      </c>
      <c r="K275" s="9" t="s">
        <v>44</v>
      </c>
    </row>
    <row r="276" spans="1:11" x14ac:dyDescent="0.25">
      <c r="A276" s="8" t="s">
        <v>82</v>
      </c>
      <c r="B276" s="9" t="s">
        <v>83</v>
      </c>
      <c r="C276" s="9" t="s">
        <v>40</v>
      </c>
      <c r="D276" s="9" t="s">
        <v>91</v>
      </c>
      <c r="E276" s="10">
        <v>2006</v>
      </c>
      <c r="F276" s="10">
        <v>2008</v>
      </c>
      <c r="G276" s="9" t="s">
        <v>42</v>
      </c>
      <c r="H276" s="11">
        <v>4576.5200000000004</v>
      </c>
      <c r="I276" s="11">
        <v>2288.2600000000002</v>
      </c>
      <c r="J276" s="9" t="s">
        <v>89</v>
      </c>
      <c r="K276" s="9" t="s">
        <v>44</v>
      </c>
    </row>
    <row r="277" spans="1:11" x14ac:dyDescent="0.25">
      <c r="A277" s="8" t="s">
        <v>82</v>
      </c>
      <c r="B277" s="9" t="s">
        <v>83</v>
      </c>
      <c r="C277" s="9" t="s">
        <v>40</v>
      </c>
      <c r="D277" s="9" t="s">
        <v>91</v>
      </c>
      <c r="E277" s="10">
        <v>2006</v>
      </c>
      <c r="F277" s="10">
        <v>2008</v>
      </c>
      <c r="G277" s="9" t="s">
        <v>45</v>
      </c>
      <c r="H277" s="11">
        <v>14.61</v>
      </c>
      <c r="I277" s="11">
        <v>7.3</v>
      </c>
      <c r="J277" s="9" t="s">
        <v>89</v>
      </c>
      <c r="K277" s="9" t="s">
        <v>44</v>
      </c>
    </row>
    <row r="278" spans="1:11" x14ac:dyDescent="0.25">
      <c r="A278" s="8" t="s">
        <v>82</v>
      </c>
      <c r="B278" s="9" t="s">
        <v>83</v>
      </c>
      <c r="C278" s="9" t="s">
        <v>40</v>
      </c>
      <c r="D278" s="9" t="s">
        <v>91</v>
      </c>
      <c r="E278" s="10">
        <v>2006</v>
      </c>
      <c r="F278" s="10">
        <v>2008</v>
      </c>
      <c r="G278" s="9" t="s">
        <v>46</v>
      </c>
      <c r="H278" s="11">
        <v>21973.39</v>
      </c>
      <c r="I278" s="11">
        <v>10986.7</v>
      </c>
      <c r="J278" s="9" t="s">
        <v>89</v>
      </c>
      <c r="K278" s="9" t="s">
        <v>44</v>
      </c>
    </row>
    <row r="279" spans="1:11" x14ac:dyDescent="0.25">
      <c r="A279" s="8" t="s">
        <v>84</v>
      </c>
      <c r="B279" s="9" t="s">
        <v>85</v>
      </c>
      <c r="C279" s="9" t="s">
        <v>85</v>
      </c>
      <c r="D279" s="9" t="s">
        <v>91</v>
      </c>
      <c r="E279" s="10">
        <v>2006</v>
      </c>
      <c r="F279" s="10">
        <v>2008</v>
      </c>
      <c r="G279" s="9" t="s">
        <v>42</v>
      </c>
      <c r="H279" s="11">
        <v>167708.99</v>
      </c>
      <c r="I279" s="11">
        <v>83854.5</v>
      </c>
      <c r="J279" s="9" t="s">
        <v>89</v>
      </c>
      <c r="K279" s="9" t="s">
        <v>44</v>
      </c>
    </row>
    <row r="280" spans="1:11" x14ac:dyDescent="0.25">
      <c r="A280" s="8" t="s">
        <v>84</v>
      </c>
      <c r="B280" s="9" t="s">
        <v>85</v>
      </c>
      <c r="C280" s="9" t="s">
        <v>85</v>
      </c>
      <c r="D280" s="9" t="s">
        <v>91</v>
      </c>
      <c r="E280" s="10">
        <v>2006</v>
      </c>
      <c r="F280" s="10">
        <v>2008</v>
      </c>
      <c r="G280" s="9" t="s">
        <v>45</v>
      </c>
      <c r="H280" s="11">
        <v>167.73</v>
      </c>
      <c r="I280" s="11">
        <v>83.86</v>
      </c>
      <c r="J280" s="9" t="s">
        <v>89</v>
      </c>
      <c r="K280" s="9" t="s">
        <v>44</v>
      </c>
    </row>
    <row r="281" spans="1:11" x14ac:dyDescent="0.25">
      <c r="A281" s="8" t="s">
        <v>84</v>
      </c>
      <c r="B281" s="9" t="s">
        <v>85</v>
      </c>
      <c r="C281" s="9" t="s">
        <v>85</v>
      </c>
      <c r="D281" s="9" t="s">
        <v>91</v>
      </c>
      <c r="E281" s="10">
        <v>2006</v>
      </c>
      <c r="F281" s="10">
        <v>2008</v>
      </c>
      <c r="G281" s="9" t="s">
        <v>46</v>
      </c>
      <c r="H281" s="11">
        <v>78518.3</v>
      </c>
      <c r="I281" s="11">
        <v>39259.15</v>
      </c>
      <c r="J281" s="9" t="s">
        <v>89</v>
      </c>
      <c r="K281" s="9" t="s">
        <v>44</v>
      </c>
    </row>
    <row r="282" spans="1:11" x14ac:dyDescent="0.25">
      <c r="A282" s="8" t="s">
        <v>84</v>
      </c>
      <c r="B282" s="9" t="s">
        <v>85</v>
      </c>
      <c r="C282" s="9" t="s">
        <v>85</v>
      </c>
      <c r="D282" s="9" t="s">
        <v>91</v>
      </c>
      <c r="E282" s="10">
        <v>2006</v>
      </c>
      <c r="F282" s="10">
        <v>2008</v>
      </c>
      <c r="G282" s="9" t="s">
        <v>50</v>
      </c>
      <c r="H282" s="11">
        <v>7866.9</v>
      </c>
      <c r="I282" s="11">
        <v>3933.45</v>
      </c>
      <c r="J282" s="9" t="s">
        <v>89</v>
      </c>
      <c r="K282" s="9" t="s">
        <v>44</v>
      </c>
    </row>
    <row r="283" spans="1:11" x14ac:dyDescent="0.25">
      <c r="A283" s="8" t="s">
        <v>86</v>
      </c>
      <c r="B283" s="9" t="s">
        <v>87</v>
      </c>
      <c r="C283" s="9" t="s">
        <v>69</v>
      </c>
      <c r="D283" s="9" t="s">
        <v>91</v>
      </c>
      <c r="E283" s="10">
        <v>2006</v>
      </c>
      <c r="F283" s="10">
        <v>2008</v>
      </c>
      <c r="G283" s="9" t="s">
        <v>42</v>
      </c>
      <c r="H283" s="11">
        <v>141182.64000000001</v>
      </c>
      <c r="I283" s="11">
        <v>70591.320000000007</v>
      </c>
      <c r="J283" s="9" t="s">
        <v>89</v>
      </c>
      <c r="K283" s="9" t="s">
        <v>44</v>
      </c>
    </row>
    <row r="284" spans="1:11" x14ac:dyDescent="0.25">
      <c r="A284" s="8" t="s">
        <v>86</v>
      </c>
      <c r="B284" s="9" t="s">
        <v>87</v>
      </c>
      <c r="C284" s="9" t="s">
        <v>69</v>
      </c>
      <c r="D284" s="9" t="s">
        <v>91</v>
      </c>
      <c r="E284" s="10">
        <v>2006</v>
      </c>
      <c r="F284" s="10">
        <v>2008</v>
      </c>
      <c r="G284" s="9" t="s">
        <v>45</v>
      </c>
      <c r="H284" s="11">
        <v>9.27</v>
      </c>
      <c r="I284" s="11">
        <v>4.6399999999999997</v>
      </c>
      <c r="J284" s="9" t="s">
        <v>89</v>
      </c>
      <c r="K284" s="9" t="s">
        <v>44</v>
      </c>
    </row>
    <row r="285" spans="1:11" x14ac:dyDescent="0.25">
      <c r="A285" s="8" t="s">
        <v>86</v>
      </c>
      <c r="B285" s="9" t="s">
        <v>87</v>
      </c>
      <c r="C285" s="9" t="s">
        <v>69</v>
      </c>
      <c r="D285" s="9" t="s">
        <v>91</v>
      </c>
      <c r="E285" s="10">
        <v>2006</v>
      </c>
      <c r="F285" s="10">
        <v>2008</v>
      </c>
      <c r="G285" s="9" t="s">
        <v>46</v>
      </c>
      <c r="H285" s="11">
        <v>15646.07</v>
      </c>
      <c r="I285" s="11">
        <v>7823.04</v>
      </c>
      <c r="J285" s="9" t="s">
        <v>89</v>
      </c>
      <c r="K285" s="9" t="s">
        <v>44</v>
      </c>
    </row>
    <row r="286" spans="1:11" x14ac:dyDescent="0.25">
      <c r="A286" s="8" t="s">
        <v>86</v>
      </c>
      <c r="B286" s="9" t="s">
        <v>87</v>
      </c>
      <c r="C286" s="9" t="s">
        <v>69</v>
      </c>
      <c r="D286" s="9" t="s">
        <v>91</v>
      </c>
      <c r="E286" s="10">
        <v>2006</v>
      </c>
      <c r="F286" s="10">
        <v>2008</v>
      </c>
      <c r="G286" s="9" t="s">
        <v>64</v>
      </c>
      <c r="H286" s="11">
        <v>0.85</v>
      </c>
      <c r="I286" s="11">
        <v>0.42</v>
      </c>
      <c r="J286" s="9" t="s">
        <v>89</v>
      </c>
      <c r="K286" s="9" t="s">
        <v>44</v>
      </c>
    </row>
    <row r="287" spans="1:11" x14ac:dyDescent="0.25">
      <c r="A287" s="8" t="s">
        <v>86</v>
      </c>
      <c r="B287" s="9" t="s">
        <v>87</v>
      </c>
      <c r="C287" s="9" t="s">
        <v>69</v>
      </c>
      <c r="D287" s="9" t="s">
        <v>91</v>
      </c>
      <c r="E287" s="10">
        <v>2006</v>
      </c>
      <c r="F287" s="10">
        <v>2008</v>
      </c>
      <c r="G287" s="9" t="s">
        <v>50</v>
      </c>
      <c r="H287" s="11">
        <v>8603.5</v>
      </c>
      <c r="I287" s="11">
        <v>4301.75</v>
      </c>
      <c r="J287" s="9" t="s">
        <v>89</v>
      </c>
      <c r="K287" s="9" t="s">
        <v>44</v>
      </c>
    </row>
    <row r="288" spans="1:11" x14ac:dyDescent="0.25">
      <c r="A288" s="8" t="s">
        <v>38</v>
      </c>
      <c r="B288" s="9" t="s">
        <v>39</v>
      </c>
      <c r="C288" s="9" t="s">
        <v>40</v>
      </c>
      <c r="D288" s="9" t="s">
        <v>92</v>
      </c>
      <c r="E288" s="10">
        <v>2008</v>
      </c>
      <c r="F288" s="10">
        <v>2010</v>
      </c>
      <c r="G288" s="9" t="s">
        <v>42</v>
      </c>
      <c r="H288" s="11">
        <v>13429.01</v>
      </c>
      <c r="I288" s="11">
        <v>6714.5</v>
      </c>
      <c r="J288" s="9" t="s">
        <v>89</v>
      </c>
      <c r="K288" s="9" t="s">
        <v>44</v>
      </c>
    </row>
    <row r="289" spans="1:11" x14ac:dyDescent="0.25">
      <c r="A289" s="8" t="s">
        <v>38</v>
      </c>
      <c r="B289" s="9" t="s">
        <v>39</v>
      </c>
      <c r="C289" s="9" t="s">
        <v>40</v>
      </c>
      <c r="D289" s="9" t="s">
        <v>92</v>
      </c>
      <c r="E289" s="10">
        <v>2008</v>
      </c>
      <c r="F289" s="10">
        <v>2010</v>
      </c>
      <c r="G289" s="9" t="s">
        <v>45</v>
      </c>
      <c r="H289" s="11">
        <v>2.95</v>
      </c>
      <c r="I289" s="11">
        <v>1.48</v>
      </c>
      <c r="J289" s="9" t="s">
        <v>89</v>
      </c>
      <c r="K289" s="9" t="s">
        <v>44</v>
      </c>
    </row>
    <row r="290" spans="1:11" x14ac:dyDescent="0.25">
      <c r="A290" s="8" t="s">
        <v>38</v>
      </c>
      <c r="B290" s="9" t="s">
        <v>39</v>
      </c>
      <c r="C290" s="9" t="s">
        <v>40</v>
      </c>
      <c r="D290" s="9" t="s">
        <v>92</v>
      </c>
      <c r="E290" s="10">
        <v>2008</v>
      </c>
      <c r="F290" s="10">
        <v>2010</v>
      </c>
      <c r="G290" s="9" t="s">
        <v>46</v>
      </c>
      <c r="H290" s="11">
        <v>16225.36</v>
      </c>
      <c r="I290" s="11">
        <v>8112.68</v>
      </c>
      <c r="J290" s="9" t="s">
        <v>89</v>
      </c>
      <c r="K290" s="9" t="s">
        <v>44</v>
      </c>
    </row>
    <row r="291" spans="1:11" x14ac:dyDescent="0.25">
      <c r="A291" s="8" t="s">
        <v>38</v>
      </c>
      <c r="B291" s="9" t="s">
        <v>39</v>
      </c>
      <c r="C291" s="9" t="s">
        <v>40</v>
      </c>
      <c r="D291" s="9" t="s">
        <v>92</v>
      </c>
      <c r="E291" s="10">
        <v>2008</v>
      </c>
      <c r="F291" s="10">
        <v>2010</v>
      </c>
      <c r="G291" s="9" t="s">
        <v>50</v>
      </c>
      <c r="H291" s="11">
        <v>5.67</v>
      </c>
      <c r="I291" s="11">
        <v>2.84</v>
      </c>
      <c r="J291" s="9" t="s">
        <v>89</v>
      </c>
      <c r="K291" s="9" t="s">
        <v>44</v>
      </c>
    </row>
    <row r="292" spans="1:11" x14ac:dyDescent="0.25">
      <c r="A292" s="8" t="s">
        <v>47</v>
      </c>
      <c r="B292" s="9" t="s">
        <v>48</v>
      </c>
      <c r="C292" s="9" t="s">
        <v>49</v>
      </c>
      <c r="D292" s="9" t="s">
        <v>92</v>
      </c>
      <c r="E292" s="10">
        <v>2008</v>
      </c>
      <c r="F292" s="10">
        <v>2010</v>
      </c>
      <c r="G292" s="9" t="s">
        <v>42</v>
      </c>
      <c r="H292" s="11">
        <v>17452.830000000002</v>
      </c>
      <c r="I292" s="11">
        <v>8726.42</v>
      </c>
      <c r="J292" s="9" t="s">
        <v>89</v>
      </c>
      <c r="K292" s="9" t="s">
        <v>44</v>
      </c>
    </row>
    <row r="293" spans="1:11" x14ac:dyDescent="0.25">
      <c r="A293" s="8" t="s">
        <v>47</v>
      </c>
      <c r="B293" s="9" t="s">
        <v>48</v>
      </c>
      <c r="C293" s="9" t="s">
        <v>49</v>
      </c>
      <c r="D293" s="9" t="s">
        <v>92</v>
      </c>
      <c r="E293" s="10">
        <v>2008</v>
      </c>
      <c r="F293" s="10">
        <v>2010</v>
      </c>
      <c r="G293" s="9" t="s">
        <v>45</v>
      </c>
      <c r="H293" s="11">
        <v>102.76</v>
      </c>
      <c r="I293" s="11">
        <v>51.38</v>
      </c>
      <c r="J293" s="9" t="s">
        <v>89</v>
      </c>
      <c r="K293" s="9" t="s">
        <v>44</v>
      </c>
    </row>
    <row r="294" spans="1:11" x14ac:dyDescent="0.25">
      <c r="A294" s="8" t="s">
        <v>47</v>
      </c>
      <c r="B294" s="9" t="s">
        <v>48</v>
      </c>
      <c r="C294" s="9" t="s">
        <v>49</v>
      </c>
      <c r="D294" s="9" t="s">
        <v>92</v>
      </c>
      <c r="E294" s="10">
        <v>2008</v>
      </c>
      <c r="F294" s="10">
        <v>2010</v>
      </c>
      <c r="G294" s="9" t="s">
        <v>46</v>
      </c>
      <c r="H294" s="11">
        <v>35406.959999999999</v>
      </c>
      <c r="I294" s="11">
        <v>17703.48</v>
      </c>
      <c r="J294" s="9" t="s">
        <v>89</v>
      </c>
      <c r="K294" s="9" t="s">
        <v>44</v>
      </c>
    </row>
    <row r="295" spans="1:11" x14ac:dyDescent="0.25">
      <c r="A295" s="8" t="s">
        <v>47</v>
      </c>
      <c r="B295" s="9" t="s">
        <v>48</v>
      </c>
      <c r="C295" s="9" t="s">
        <v>49</v>
      </c>
      <c r="D295" s="9" t="s">
        <v>92</v>
      </c>
      <c r="E295" s="10">
        <v>2008</v>
      </c>
      <c r="F295" s="10">
        <v>2010</v>
      </c>
      <c r="G295" s="9" t="s">
        <v>50</v>
      </c>
      <c r="H295" s="11">
        <v>318.51</v>
      </c>
      <c r="I295" s="11">
        <v>159.26</v>
      </c>
      <c r="J295" s="9" t="s">
        <v>89</v>
      </c>
      <c r="K295" s="9" t="s">
        <v>44</v>
      </c>
    </row>
    <row r="296" spans="1:11" x14ac:dyDescent="0.25">
      <c r="A296" s="8" t="s">
        <v>51</v>
      </c>
      <c r="B296" s="9" t="s">
        <v>52</v>
      </c>
      <c r="C296" s="9" t="s">
        <v>53</v>
      </c>
      <c r="D296" s="9" t="s">
        <v>92</v>
      </c>
      <c r="E296" s="10">
        <v>2008</v>
      </c>
      <c r="F296" s="10">
        <v>2010</v>
      </c>
      <c r="G296" s="9" t="s">
        <v>42</v>
      </c>
      <c r="H296" s="11">
        <v>955.42</v>
      </c>
      <c r="I296" s="11">
        <v>477.71</v>
      </c>
      <c r="J296" s="9" t="s">
        <v>89</v>
      </c>
      <c r="K296" s="9" t="s">
        <v>44</v>
      </c>
    </row>
    <row r="297" spans="1:11" x14ac:dyDescent="0.25">
      <c r="A297" s="8" t="s">
        <v>51</v>
      </c>
      <c r="B297" s="9" t="s">
        <v>52</v>
      </c>
      <c r="C297" s="9" t="s">
        <v>53</v>
      </c>
      <c r="D297" s="9" t="s">
        <v>92</v>
      </c>
      <c r="E297" s="10">
        <v>2008</v>
      </c>
      <c r="F297" s="10">
        <v>2010</v>
      </c>
      <c r="G297" s="9" t="s">
        <v>45</v>
      </c>
      <c r="H297" s="11">
        <v>23.54</v>
      </c>
      <c r="I297" s="11">
        <v>11.77</v>
      </c>
      <c r="J297" s="9" t="s">
        <v>89</v>
      </c>
      <c r="K297" s="9" t="s">
        <v>44</v>
      </c>
    </row>
    <row r="298" spans="1:11" x14ac:dyDescent="0.25">
      <c r="A298" s="8" t="s">
        <v>51</v>
      </c>
      <c r="B298" s="9" t="s">
        <v>52</v>
      </c>
      <c r="C298" s="9" t="s">
        <v>53</v>
      </c>
      <c r="D298" s="9" t="s">
        <v>92</v>
      </c>
      <c r="E298" s="10">
        <v>2008</v>
      </c>
      <c r="F298" s="10">
        <v>2010</v>
      </c>
      <c r="G298" s="9" t="s">
        <v>46</v>
      </c>
      <c r="H298" s="11">
        <v>73086.2</v>
      </c>
      <c r="I298" s="11">
        <v>36543.1</v>
      </c>
      <c r="J298" s="9" t="s">
        <v>89</v>
      </c>
      <c r="K298" s="9" t="s">
        <v>44</v>
      </c>
    </row>
    <row r="299" spans="1:11" x14ac:dyDescent="0.25">
      <c r="A299" s="8" t="s">
        <v>54</v>
      </c>
      <c r="B299" s="9" t="s">
        <v>55</v>
      </c>
      <c r="C299" s="9" t="s">
        <v>49</v>
      </c>
      <c r="D299" s="9" t="s">
        <v>92</v>
      </c>
      <c r="E299" s="10">
        <v>2008</v>
      </c>
      <c r="F299" s="10">
        <v>2010</v>
      </c>
      <c r="G299" s="9" t="s">
        <v>42</v>
      </c>
      <c r="H299" s="11">
        <v>5970.39</v>
      </c>
      <c r="I299" s="11">
        <v>2985.2</v>
      </c>
      <c r="J299" s="9" t="s">
        <v>89</v>
      </c>
      <c r="K299" s="9" t="s">
        <v>44</v>
      </c>
    </row>
    <row r="300" spans="1:11" x14ac:dyDescent="0.25">
      <c r="A300" s="8" t="s">
        <v>54</v>
      </c>
      <c r="B300" s="9" t="s">
        <v>55</v>
      </c>
      <c r="C300" s="9" t="s">
        <v>49</v>
      </c>
      <c r="D300" s="9" t="s">
        <v>92</v>
      </c>
      <c r="E300" s="10">
        <v>2008</v>
      </c>
      <c r="F300" s="10">
        <v>2010</v>
      </c>
      <c r="G300" s="9" t="s">
        <v>45</v>
      </c>
      <c r="H300" s="11">
        <v>351.2</v>
      </c>
      <c r="I300" s="11">
        <v>175.6</v>
      </c>
      <c r="J300" s="9" t="s">
        <v>89</v>
      </c>
      <c r="K300" s="9" t="s">
        <v>44</v>
      </c>
    </row>
    <row r="301" spans="1:11" x14ac:dyDescent="0.25">
      <c r="A301" s="8" t="s">
        <v>54</v>
      </c>
      <c r="B301" s="9" t="s">
        <v>55</v>
      </c>
      <c r="C301" s="9" t="s">
        <v>49</v>
      </c>
      <c r="D301" s="9" t="s">
        <v>92</v>
      </c>
      <c r="E301" s="10">
        <v>2008</v>
      </c>
      <c r="F301" s="10">
        <v>2010</v>
      </c>
      <c r="G301" s="9" t="s">
        <v>46</v>
      </c>
      <c r="H301" s="11">
        <v>31921.13</v>
      </c>
      <c r="I301" s="11">
        <v>15960.56</v>
      </c>
      <c r="J301" s="9" t="s">
        <v>89</v>
      </c>
      <c r="K301" s="9" t="s">
        <v>44</v>
      </c>
    </row>
    <row r="302" spans="1:11" x14ac:dyDescent="0.25">
      <c r="A302" s="8" t="s">
        <v>54</v>
      </c>
      <c r="B302" s="9" t="s">
        <v>55</v>
      </c>
      <c r="C302" s="9" t="s">
        <v>49</v>
      </c>
      <c r="D302" s="9" t="s">
        <v>92</v>
      </c>
      <c r="E302" s="10">
        <v>2008</v>
      </c>
      <c r="F302" s="10">
        <v>2010</v>
      </c>
      <c r="G302" s="9" t="s">
        <v>50</v>
      </c>
      <c r="H302" s="11">
        <v>121</v>
      </c>
      <c r="I302" s="11">
        <v>60.5</v>
      </c>
      <c r="J302" s="9" t="s">
        <v>89</v>
      </c>
      <c r="K302" s="9" t="s">
        <v>44</v>
      </c>
    </row>
    <row r="303" spans="1:11" x14ac:dyDescent="0.25">
      <c r="A303" s="8" t="s">
        <v>56</v>
      </c>
      <c r="B303" s="9" t="s">
        <v>57</v>
      </c>
      <c r="C303" s="9" t="s">
        <v>40</v>
      </c>
      <c r="D303" s="9" t="s">
        <v>92</v>
      </c>
      <c r="E303" s="10">
        <v>2008</v>
      </c>
      <c r="F303" s="10">
        <v>2010</v>
      </c>
      <c r="G303" s="9" t="s">
        <v>42</v>
      </c>
      <c r="H303" s="11">
        <v>11992.56</v>
      </c>
      <c r="I303" s="11">
        <v>5996.28</v>
      </c>
      <c r="J303" s="9" t="s">
        <v>89</v>
      </c>
      <c r="K303" s="9" t="s">
        <v>44</v>
      </c>
    </row>
    <row r="304" spans="1:11" x14ac:dyDescent="0.25">
      <c r="A304" s="8" t="s">
        <v>56</v>
      </c>
      <c r="B304" s="9" t="s">
        <v>57</v>
      </c>
      <c r="C304" s="9" t="s">
        <v>40</v>
      </c>
      <c r="D304" s="9" t="s">
        <v>92</v>
      </c>
      <c r="E304" s="10">
        <v>2008</v>
      </c>
      <c r="F304" s="10">
        <v>2010</v>
      </c>
      <c r="G304" s="9" t="s">
        <v>45</v>
      </c>
      <c r="H304" s="11">
        <v>7.91</v>
      </c>
      <c r="I304" s="11">
        <v>3.96</v>
      </c>
      <c r="J304" s="9" t="s">
        <v>89</v>
      </c>
      <c r="K304" s="9" t="s">
        <v>44</v>
      </c>
    </row>
    <row r="305" spans="1:11" x14ac:dyDescent="0.25">
      <c r="A305" s="8" t="s">
        <v>56</v>
      </c>
      <c r="B305" s="9" t="s">
        <v>57</v>
      </c>
      <c r="C305" s="9" t="s">
        <v>40</v>
      </c>
      <c r="D305" s="9" t="s">
        <v>92</v>
      </c>
      <c r="E305" s="10">
        <v>2008</v>
      </c>
      <c r="F305" s="10">
        <v>2010</v>
      </c>
      <c r="G305" s="9" t="s">
        <v>46</v>
      </c>
      <c r="H305" s="11">
        <v>24444.7</v>
      </c>
      <c r="I305" s="11">
        <v>12222.35</v>
      </c>
      <c r="J305" s="9" t="s">
        <v>89</v>
      </c>
      <c r="K305" s="9" t="s">
        <v>44</v>
      </c>
    </row>
    <row r="306" spans="1:11" x14ac:dyDescent="0.25">
      <c r="A306" s="8" t="s">
        <v>58</v>
      </c>
      <c r="B306" s="9" t="s">
        <v>59</v>
      </c>
      <c r="C306" s="9" t="s">
        <v>49</v>
      </c>
      <c r="D306" s="9" t="s">
        <v>92</v>
      </c>
      <c r="E306" s="10">
        <v>2008</v>
      </c>
      <c r="F306" s="10">
        <v>2010</v>
      </c>
      <c r="G306" s="9" t="s">
        <v>42</v>
      </c>
      <c r="H306" s="11">
        <v>20348.55</v>
      </c>
      <c r="I306" s="11">
        <v>10174.280000000001</v>
      </c>
      <c r="J306" s="9" t="s">
        <v>89</v>
      </c>
      <c r="K306" s="9" t="s">
        <v>44</v>
      </c>
    </row>
    <row r="307" spans="1:11" x14ac:dyDescent="0.25">
      <c r="A307" s="8" t="s">
        <v>58</v>
      </c>
      <c r="B307" s="9" t="s">
        <v>59</v>
      </c>
      <c r="C307" s="9" t="s">
        <v>49</v>
      </c>
      <c r="D307" s="9" t="s">
        <v>92</v>
      </c>
      <c r="E307" s="10">
        <v>2008</v>
      </c>
      <c r="F307" s="10">
        <v>2010</v>
      </c>
      <c r="G307" s="9" t="s">
        <v>45</v>
      </c>
      <c r="H307" s="11">
        <v>141.72999999999999</v>
      </c>
      <c r="I307" s="11">
        <v>70.86</v>
      </c>
      <c r="J307" s="9" t="s">
        <v>89</v>
      </c>
      <c r="K307" s="9" t="s">
        <v>44</v>
      </c>
    </row>
    <row r="308" spans="1:11" x14ac:dyDescent="0.25">
      <c r="A308" s="8" t="s">
        <v>58</v>
      </c>
      <c r="B308" s="9" t="s">
        <v>59</v>
      </c>
      <c r="C308" s="9" t="s">
        <v>49</v>
      </c>
      <c r="D308" s="9" t="s">
        <v>92</v>
      </c>
      <c r="E308" s="10">
        <v>2008</v>
      </c>
      <c r="F308" s="10">
        <v>2010</v>
      </c>
      <c r="G308" s="9" t="s">
        <v>46</v>
      </c>
      <c r="H308" s="11">
        <v>49601.15</v>
      </c>
      <c r="I308" s="11">
        <v>24800.58</v>
      </c>
      <c r="J308" s="9" t="s">
        <v>89</v>
      </c>
      <c r="K308" s="9" t="s">
        <v>44</v>
      </c>
    </row>
    <row r="309" spans="1:11" x14ac:dyDescent="0.25">
      <c r="A309" s="8" t="s">
        <v>58</v>
      </c>
      <c r="B309" s="9" t="s">
        <v>59</v>
      </c>
      <c r="C309" s="9" t="s">
        <v>49</v>
      </c>
      <c r="D309" s="9" t="s">
        <v>92</v>
      </c>
      <c r="E309" s="10">
        <v>2008</v>
      </c>
      <c r="F309" s="10">
        <v>2010</v>
      </c>
      <c r="G309" s="9" t="s">
        <v>50</v>
      </c>
      <c r="H309" s="11">
        <v>370.27</v>
      </c>
      <c r="I309" s="11">
        <v>185.14</v>
      </c>
      <c r="J309" s="9" t="s">
        <v>89</v>
      </c>
      <c r="K309" s="9" t="s">
        <v>44</v>
      </c>
    </row>
    <row r="310" spans="1:11" x14ac:dyDescent="0.25">
      <c r="A310" s="8" t="s">
        <v>60</v>
      </c>
      <c r="B310" s="9" t="s">
        <v>61</v>
      </c>
      <c r="C310" s="9" t="s">
        <v>40</v>
      </c>
      <c r="D310" s="9" t="s">
        <v>92</v>
      </c>
      <c r="E310" s="10">
        <v>2008</v>
      </c>
      <c r="F310" s="10">
        <v>2010</v>
      </c>
      <c r="G310" s="9" t="s">
        <v>42</v>
      </c>
      <c r="H310" s="11">
        <v>144140.15</v>
      </c>
      <c r="I310" s="11">
        <v>72070.080000000002</v>
      </c>
      <c r="J310" s="9" t="s">
        <v>89</v>
      </c>
      <c r="K310" s="9" t="s">
        <v>44</v>
      </c>
    </row>
    <row r="311" spans="1:11" x14ac:dyDescent="0.25">
      <c r="A311" s="8" t="s">
        <v>60</v>
      </c>
      <c r="B311" s="9" t="s">
        <v>61</v>
      </c>
      <c r="C311" s="9" t="s">
        <v>40</v>
      </c>
      <c r="D311" s="9" t="s">
        <v>92</v>
      </c>
      <c r="E311" s="10">
        <v>2008</v>
      </c>
      <c r="F311" s="10">
        <v>2010</v>
      </c>
      <c r="G311" s="9" t="s">
        <v>45</v>
      </c>
      <c r="H311" s="11">
        <v>153.79</v>
      </c>
      <c r="I311" s="11">
        <v>76.900000000000006</v>
      </c>
      <c r="J311" s="9" t="s">
        <v>89</v>
      </c>
      <c r="K311" s="9" t="s">
        <v>44</v>
      </c>
    </row>
    <row r="312" spans="1:11" x14ac:dyDescent="0.25">
      <c r="A312" s="8" t="s">
        <v>60</v>
      </c>
      <c r="B312" s="9" t="s">
        <v>61</v>
      </c>
      <c r="C312" s="9" t="s">
        <v>40</v>
      </c>
      <c r="D312" s="9" t="s">
        <v>92</v>
      </c>
      <c r="E312" s="10">
        <v>2008</v>
      </c>
      <c r="F312" s="10">
        <v>2010</v>
      </c>
      <c r="G312" s="9" t="s">
        <v>46</v>
      </c>
      <c r="H312" s="11">
        <v>49145.68</v>
      </c>
      <c r="I312" s="11">
        <v>24572.84</v>
      </c>
      <c r="J312" s="9" t="s">
        <v>89</v>
      </c>
      <c r="K312" s="9" t="s">
        <v>44</v>
      </c>
    </row>
    <row r="313" spans="1:11" x14ac:dyDescent="0.25">
      <c r="A313" s="8" t="s">
        <v>60</v>
      </c>
      <c r="B313" s="9" t="s">
        <v>61</v>
      </c>
      <c r="C313" s="9" t="s">
        <v>40</v>
      </c>
      <c r="D313" s="9" t="s">
        <v>92</v>
      </c>
      <c r="E313" s="10">
        <v>2008</v>
      </c>
      <c r="F313" s="10">
        <v>2010</v>
      </c>
      <c r="G313" s="9" t="s">
        <v>64</v>
      </c>
      <c r="H313" s="11">
        <v>1.66</v>
      </c>
      <c r="I313" s="11">
        <v>0.83</v>
      </c>
      <c r="J313" s="9" t="s">
        <v>89</v>
      </c>
      <c r="K313" s="9" t="s">
        <v>44</v>
      </c>
    </row>
    <row r="314" spans="1:11" x14ac:dyDescent="0.25">
      <c r="A314" s="8" t="s">
        <v>60</v>
      </c>
      <c r="B314" s="9" t="s">
        <v>61</v>
      </c>
      <c r="C314" s="9" t="s">
        <v>40</v>
      </c>
      <c r="D314" s="9" t="s">
        <v>92</v>
      </c>
      <c r="E314" s="10">
        <v>2008</v>
      </c>
      <c r="F314" s="10">
        <v>2010</v>
      </c>
      <c r="G314" s="9" t="s">
        <v>50</v>
      </c>
      <c r="H314" s="11">
        <v>1480.94</v>
      </c>
      <c r="I314" s="11">
        <v>740.47</v>
      </c>
      <c r="J314" s="9" t="s">
        <v>89</v>
      </c>
      <c r="K314" s="9" t="s">
        <v>44</v>
      </c>
    </row>
    <row r="315" spans="1:11" x14ac:dyDescent="0.25">
      <c r="A315" s="8" t="s">
        <v>62</v>
      </c>
      <c r="B315" s="9" t="s">
        <v>63</v>
      </c>
      <c r="C315" s="9" t="s">
        <v>40</v>
      </c>
      <c r="D315" s="9" t="s">
        <v>92</v>
      </c>
      <c r="E315" s="10">
        <v>2008</v>
      </c>
      <c r="F315" s="10">
        <v>2010</v>
      </c>
      <c r="G315" s="9" t="s">
        <v>42</v>
      </c>
      <c r="H315" s="11">
        <v>92525.96</v>
      </c>
      <c r="I315" s="11">
        <v>46262.98</v>
      </c>
      <c r="J315" s="9" t="s">
        <v>89</v>
      </c>
      <c r="K315" s="9" t="s">
        <v>44</v>
      </c>
    </row>
    <row r="316" spans="1:11" x14ac:dyDescent="0.25">
      <c r="A316" s="8" t="s">
        <v>62</v>
      </c>
      <c r="B316" s="9" t="s">
        <v>63</v>
      </c>
      <c r="C316" s="9" t="s">
        <v>40</v>
      </c>
      <c r="D316" s="9" t="s">
        <v>92</v>
      </c>
      <c r="E316" s="10">
        <v>2008</v>
      </c>
      <c r="F316" s="10">
        <v>2010</v>
      </c>
      <c r="G316" s="9" t="s">
        <v>45</v>
      </c>
      <c r="H316" s="11">
        <v>80.69</v>
      </c>
      <c r="I316" s="11">
        <v>40.340000000000003</v>
      </c>
      <c r="J316" s="9" t="s">
        <v>89</v>
      </c>
      <c r="K316" s="9" t="s">
        <v>44</v>
      </c>
    </row>
    <row r="317" spans="1:11" x14ac:dyDescent="0.25">
      <c r="A317" s="8" t="s">
        <v>62</v>
      </c>
      <c r="B317" s="9" t="s">
        <v>63</v>
      </c>
      <c r="C317" s="9" t="s">
        <v>40</v>
      </c>
      <c r="D317" s="9" t="s">
        <v>92</v>
      </c>
      <c r="E317" s="10">
        <v>2008</v>
      </c>
      <c r="F317" s="10">
        <v>2010</v>
      </c>
      <c r="G317" s="9" t="s">
        <v>46</v>
      </c>
      <c r="H317" s="11">
        <v>45020.08</v>
      </c>
      <c r="I317" s="11">
        <v>22510.04</v>
      </c>
      <c r="J317" s="9" t="s">
        <v>89</v>
      </c>
      <c r="K317" s="9" t="s">
        <v>44</v>
      </c>
    </row>
    <row r="318" spans="1:11" x14ac:dyDescent="0.25">
      <c r="A318" s="8" t="s">
        <v>62</v>
      </c>
      <c r="B318" s="9" t="s">
        <v>63</v>
      </c>
      <c r="C318" s="9" t="s">
        <v>40</v>
      </c>
      <c r="D318" s="9" t="s">
        <v>92</v>
      </c>
      <c r="E318" s="10">
        <v>2008</v>
      </c>
      <c r="F318" s="10">
        <v>2010</v>
      </c>
      <c r="G318" s="9" t="s">
        <v>50</v>
      </c>
      <c r="H318" s="11">
        <v>598.73</v>
      </c>
      <c r="I318" s="11">
        <v>299.36</v>
      </c>
      <c r="J318" s="9" t="s">
        <v>89</v>
      </c>
      <c r="K318" s="9" t="s">
        <v>44</v>
      </c>
    </row>
    <row r="319" spans="1:11" x14ac:dyDescent="0.25">
      <c r="A319" s="8" t="s">
        <v>65</v>
      </c>
      <c r="B319" s="9" t="s">
        <v>66</v>
      </c>
      <c r="C319" s="9" t="s">
        <v>40</v>
      </c>
      <c r="D319" s="9" t="s">
        <v>92</v>
      </c>
      <c r="E319" s="10">
        <v>2008</v>
      </c>
      <c r="F319" s="10">
        <v>2010</v>
      </c>
      <c r="G319" s="9" t="s">
        <v>42</v>
      </c>
      <c r="H319" s="11">
        <v>1317.01</v>
      </c>
      <c r="I319" s="11">
        <v>658.5</v>
      </c>
      <c r="J319" s="9" t="s">
        <v>89</v>
      </c>
      <c r="K319" s="9" t="s">
        <v>44</v>
      </c>
    </row>
    <row r="320" spans="1:11" x14ac:dyDescent="0.25">
      <c r="A320" s="8" t="s">
        <v>65</v>
      </c>
      <c r="B320" s="9" t="s">
        <v>66</v>
      </c>
      <c r="C320" s="9" t="s">
        <v>40</v>
      </c>
      <c r="D320" s="9" t="s">
        <v>92</v>
      </c>
      <c r="E320" s="10">
        <v>2008</v>
      </c>
      <c r="F320" s="10">
        <v>2010</v>
      </c>
      <c r="G320" s="9" t="s">
        <v>45</v>
      </c>
      <c r="H320" s="11">
        <v>0.97</v>
      </c>
      <c r="I320" s="11">
        <v>0.48</v>
      </c>
      <c r="J320" s="9" t="s">
        <v>89</v>
      </c>
      <c r="K320" s="9" t="s">
        <v>44</v>
      </c>
    </row>
    <row r="321" spans="1:11" x14ac:dyDescent="0.25">
      <c r="A321" s="8" t="s">
        <v>65</v>
      </c>
      <c r="B321" s="9" t="s">
        <v>66</v>
      </c>
      <c r="C321" s="9" t="s">
        <v>40</v>
      </c>
      <c r="D321" s="9" t="s">
        <v>92</v>
      </c>
      <c r="E321" s="10">
        <v>2008</v>
      </c>
      <c r="F321" s="10">
        <v>2010</v>
      </c>
      <c r="G321" s="9" t="s">
        <v>46</v>
      </c>
      <c r="H321" s="11">
        <v>8014.02</v>
      </c>
      <c r="I321" s="11">
        <v>4007.01</v>
      </c>
      <c r="J321" s="9" t="s">
        <v>89</v>
      </c>
      <c r="K321" s="9" t="s">
        <v>44</v>
      </c>
    </row>
    <row r="322" spans="1:11" x14ac:dyDescent="0.25">
      <c r="A322" s="8" t="s">
        <v>67</v>
      </c>
      <c r="B322" s="9" t="s">
        <v>68</v>
      </c>
      <c r="C322" s="9" t="s">
        <v>69</v>
      </c>
      <c r="D322" s="9" t="s">
        <v>92</v>
      </c>
      <c r="E322" s="10">
        <v>2008</v>
      </c>
      <c r="F322" s="10">
        <v>2010</v>
      </c>
      <c r="G322" s="9" t="s">
        <v>42</v>
      </c>
      <c r="H322" s="11">
        <v>106667.9</v>
      </c>
      <c r="I322" s="11">
        <v>53333.95</v>
      </c>
      <c r="J322" s="9" t="s">
        <v>89</v>
      </c>
      <c r="K322" s="9" t="s">
        <v>44</v>
      </c>
    </row>
    <row r="323" spans="1:11" x14ac:dyDescent="0.25">
      <c r="A323" s="8" t="s">
        <v>67</v>
      </c>
      <c r="B323" s="9" t="s">
        <v>68</v>
      </c>
      <c r="C323" s="9" t="s">
        <v>69</v>
      </c>
      <c r="D323" s="9" t="s">
        <v>92</v>
      </c>
      <c r="E323" s="10">
        <v>2008</v>
      </c>
      <c r="F323" s="10">
        <v>2010</v>
      </c>
      <c r="G323" s="9" t="s">
        <v>45</v>
      </c>
      <c r="H323" s="11">
        <v>189.09</v>
      </c>
      <c r="I323" s="11">
        <v>94.54</v>
      </c>
      <c r="J323" s="9" t="s">
        <v>89</v>
      </c>
      <c r="K323" s="9" t="s">
        <v>44</v>
      </c>
    </row>
    <row r="324" spans="1:11" x14ac:dyDescent="0.25">
      <c r="A324" s="8" t="s">
        <v>67</v>
      </c>
      <c r="B324" s="9" t="s">
        <v>68</v>
      </c>
      <c r="C324" s="9" t="s">
        <v>69</v>
      </c>
      <c r="D324" s="9" t="s">
        <v>92</v>
      </c>
      <c r="E324" s="10">
        <v>2008</v>
      </c>
      <c r="F324" s="10">
        <v>2010</v>
      </c>
      <c r="G324" s="9" t="s">
        <v>46</v>
      </c>
      <c r="H324" s="11">
        <v>14345.85</v>
      </c>
      <c r="I324" s="11">
        <v>7172.92</v>
      </c>
      <c r="J324" s="9" t="s">
        <v>89</v>
      </c>
      <c r="K324" s="9" t="s">
        <v>44</v>
      </c>
    </row>
    <row r="325" spans="1:11" x14ac:dyDescent="0.25">
      <c r="A325" s="8" t="s">
        <v>67</v>
      </c>
      <c r="B325" s="9" t="s">
        <v>68</v>
      </c>
      <c r="C325" s="9" t="s">
        <v>69</v>
      </c>
      <c r="D325" s="9" t="s">
        <v>92</v>
      </c>
      <c r="E325" s="10">
        <v>2008</v>
      </c>
      <c r="F325" s="10">
        <v>2010</v>
      </c>
      <c r="G325" s="9" t="s">
        <v>50</v>
      </c>
      <c r="H325" s="11">
        <v>3690.52</v>
      </c>
      <c r="I325" s="11">
        <v>1845.26</v>
      </c>
      <c r="J325" s="9" t="s">
        <v>89</v>
      </c>
      <c r="K325" s="9" t="s">
        <v>44</v>
      </c>
    </row>
    <row r="326" spans="1:11" x14ac:dyDescent="0.25">
      <c r="A326" s="8" t="s">
        <v>70</v>
      </c>
      <c r="B326" s="9" t="s">
        <v>71</v>
      </c>
      <c r="C326" s="9" t="s">
        <v>49</v>
      </c>
      <c r="D326" s="9" t="s">
        <v>92</v>
      </c>
      <c r="E326" s="10">
        <v>2008</v>
      </c>
      <c r="F326" s="10">
        <v>2010</v>
      </c>
      <c r="G326" s="9" t="s">
        <v>42</v>
      </c>
      <c r="H326" s="11">
        <v>66621.05</v>
      </c>
      <c r="I326" s="11">
        <v>33310.519999999997</v>
      </c>
      <c r="J326" s="9" t="s">
        <v>89</v>
      </c>
      <c r="K326" s="9" t="s">
        <v>44</v>
      </c>
    </row>
    <row r="327" spans="1:11" x14ac:dyDescent="0.25">
      <c r="A327" s="8" t="s">
        <v>70</v>
      </c>
      <c r="B327" s="9" t="s">
        <v>71</v>
      </c>
      <c r="C327" s="9" t="s">
        <v>49</v>
      </c>
      <c r="D327" s="9" t="s">
        <v>92</v>
      </c>
      <c r="E327" s="10">
        <v>2008</v>
      </c>
      <c r="F327" s="10">
        <v>2010</v>
      </c>
      <c r="G327" s="9" t="s">
        <v>45</v>
      </c>
      <c r="H327" s="11">
        <v>558.14</v>
      </c>
      <c r="I327" s="11">
        <v>279.07</v>
      </c>
      <c r="J327" s="9" t="s">
        <v>89</v>
      </c>
      <c r="K327" s="9" t="s">
        <v>44</v>
      </c>
    </row>
    <row r="328" spans="1:11" x14ac:dyDescent="0.25">
      <c r="A328" s="8" t="s">
        <v>70</v>
      </c>
      <c r="B328" s="9" t="s">
        <v>71</v>
      </c>
      <c r="C328" s="9" t="s">
        <v>49</v>
      </c>
      <c r="D328" s="9" t="s">
        <v>92</v>
      </c>
      <c r="E328" s="10">
        <v>2008</v>
      </c>
      <c r="F328" s="10">
        <v>2010</v>
      </c>
      <c r="G328" s="9" t="s">
        <v>46</v>
      </c>
      <c r="H328" s="11">
        <v>36583.49</v>
      </c>
      <c r="I328" s="11">
        <v>18291.740000000002</v>
      </c>
      <c r="J328" s="9" t="s">
        <v>89</v>
      </c>
      <c r="K328" s="9" t="s">
        <v>44</v>
      </c>
    </row>
    <row r="329" spans="1:11" x14ac:dyDescent="0.25">
      <c r="A329" s="8" t="s">
        <v>70</v>
      </c>
      <c r="B329" s="9" t="s">
        <v>71</v>
      </c>
      <c r="C329" s="9" t="s">
        <v>49</v>
      </c>
      <c r="D329" s="9" t="s">
        <v>92</v>
      </c>
      <c r="E329" s="10">
        <v>2008</v>
      </c>
      <c r="F329" s="10">
        <v>2010</v>
      </c>
      <c r="G329" s="9" t="s">
        <v>50</v>
      </c>
      <c r="H329" s="11">
        <v>2125.48</v>
      </c>
      <c r="I329" s="11">
        <v>1062.74</v>
      </c>
      <c r="J329" s="9" t="s">
        <v>89</v>
      </c>
      <c r="K329" s="9" t="s">
        <v>44</v>
      </c>
    </row>
    <row r="330" spans="1:11" x14ac:dyDescent="0.25">
      <c r="A330" s="8" t="s">
        <v>72</v>
      </c>
      <c r="B330" s="9" t="s">
        <v>73</v>
      </c>
      <c r="C330" s="9" t="s">
        <v>53</v>
      </c>
      <c r="D330" s="9" t="s">
        <v>92</v>
      </c>
      <c r="E330" s="10">
        <v>2008</v>
      </c>
      <c r="F330" s="10">
        <v>2010</v>
      </c>
      <c r="G330" s="9" t="s">
        <v>42</v>
      </c>
      <c r="H330" s="11">
        <v>18852.71</v>
      </c>
      <c r="I330" s="11">
        <v>9426.36</v>
      </c>
      <c r="J330" s="9" t="s">
        <v>89</v>
      </c>
      <c r="K330" s="9" t="s">
        <v>44</v>
      </c>
    </row>
    <row r="331" spans="1:11" x14ac:dyDescent="0.25">
      <c r="A331" s="8" t="s">
        <v>72</v>
      </c>
      <c r="B331" s="9" t="s">
        <v>73</v>
      </c>
      <c r="C331" s="9" t="s">
        <v>53</v>
      </c>
      <c r="D331" s="9" t="s">
        <v>92</v>
      </c>
      <c r="E331" s="10">
        <v>2008</v>
      </c>
      <c r="F331" s="10">
        <v>2010</v>
      </c>
      <c r="G331" s="9" t="s">
        <v>45</v>
      </c>
      <c r="H331" s="11">
        <v>231.62</v>
      </c>
      <c r="I331" s="11">
        <v>115.81</v>
      </c>
      <c r="J331" s="9" t="s">
        <v>89</v>
      </c>
      <c r="K331" s="9" t="s">
        <v>44</v>
      </c>
    </row>
    <row r="332" spans="1:11" x14ac:dyDescent="0.25">
      <c r="A332" s="8" t="s">
        <v>72</v>
      </c>
      <c r="B332" s="9" t="s">
        <v>73</v>
      </c>
      <c r="C332" s="9" t="s">
        <v>53</v>
      </c>
      <c r="D332" s="9" t="s">
        <v>92</v>
      </c>
      <c r="E332" s="10">
        <v>2008</v>
      </c>
      <c r="F332" s="10">
        <v>2010</v>
      </c>
      <c r="G332" s="9" t="s">
        <v>46</v>
      </c>
      <c r="H332" s="11">
        <v>105795.64</v>
      </c>
      <c r="I332" s="11">
        <v>52897.82</v>
      </c>
      <c r="J332" s="9" t="s">
        <v>89</v>
      </c>
      <c r="K332" s="9" t="s">
        <v>44</v>
      </c>
    </row>
    <row r="333" spans="1:11" x14ac:dyDescent="0.25">
      <c r="A333" s="8" t="s">
        <v>72</v>
      </c>
      <c r="B333" s="9" t="s">
        <v>73</v>
      </c>
      <c r="C333" s="9" t="s">
        <v>53</v>
      </c>
      <c r="D333" s="9" t="s">
        <v>92</v>
      </c>
      <c r="E333" s="10">
        <v>2008</v>
      </c>
      <c r="F333" s="10">
        <v>2010</v>
      </c>
      <c r="G333" s="9" t="s">
        <v>50</v>
      </c>
      <c r="H333" s="11">
        <v>132.09</v>
      </c>
      <c r="I333" s="11">
        <v>66.040000000000006</v>
      </c>
      <c r="J333" s="9" t="s">
        <v>89</v>
      </c>
      <c r="K333" s="9" t="s">
        <v>44</v>
      </c>
    </row>
    <row r="334" spans="1:11" x14ac:dyDescent="0.25">
      <c r="A334" s="8" t="s">
        <v>74</v>
      </c>
      <c r="B334" s="9" t="s">
        <v>75</v>
      </c>
      <c r="C334" s="9" t="s">
        <v>40</v>
      </c>
      <c r="D334" s="9" t="s">
        <v>92</v>
      </c>
      <c r="E334" s="10">
        <v>2008</v>
      </c>
      <c r="F334" s="10">
        <v>2010</v>
      </c>
      <c r="G334" s="9" t="s">
        <v>42</v>
      </c>
      <c r="H334" s="11">
        <v>14212.59</v>
      </c>
      <c r="I334" s="11">
        <v>7106.3</v>
      </c>
      <c r="J334" s="9" t="s">
        <v>89</v>
      </c>
      <c r="K334" s="9" t="s">
        <v>44</v>
      </c>
    </row>
    <row r="335" spans="1:11" x14ac:dyDescent="0.25">
      <c r="A335" s="8" t="s">
        <v>74</v>
      </c>
      <c r="B335" s="9" t="s">
        <v>75</v>
      </c>
      <c r="C335" s="9" t="s">
        <v>40</v>
      </c>
      <c r="D335" s="9" t="s">
        <v>92</v>
      </c>
      <c r="E335" s="10">
        <v>2008</v>
      </c>
      <c r="F335" s="10">
        <v>2010</v>
      </c>
      <c r="G335" s="9" t="s">
        <v>45</v>
      </c>
      <c r="H335" s="11">
        <v>9.86</v>
      </c>
      <c r="I335" s="11">
        <v>4.93</v>
      </c>
      <c r="J335" s="9" t="s">
        <v>89</v>
      </c>
      <c r="K335" s="9" t="s">
        <v>44</v>
      </c>
    </row>
    <row r="336" spans="1:11" x14ac:dyDescent="0.25">
      <c r="A336" s="8" t="s">
        <v>74</v>
      </c>
      <c r="B336" s="9" t="s">
        <v>75</v>
      </c>
      <c r="C336" s="9" t="s">
        <v>40</v>
      </c>
      <c r="D336" s="9" t="s">
        <v>92</v>
      </c>
      <c r="E336" s="10">
        <v>2008</v>
      </c>
      <c r="F336" s="10">
        <v>2010</v>
      </c>
      <c r="G336" s="9" t="s">
        <v>46</v>
      </c>
      <c r="H336" s="11">
        <v>29095.91</v>
      </c>
      <c r="I336" s="11">
        <v>14547.96</v>
      </c>
      <c r="J336" s="9" t="s">
        <v>89</v>
      </c>
      <c r="K336" s="9" t="s">
        <v>44</v>
      </c>
    </row>
    <row r="337" spans="1:11" x14ac:dyDescent="0.25">
      <c r="A337" s="8" t="s">
        <v>74</v>
      </c>
      <c r="B337" s="9" t="s">
        <v>75</v>
      </c>
      <c r="C337" s="9" t="s">
        <v>40</v>
      </c>
      <c r="D337" s="9" t="s">
        <v>92</v>
      </c>
      <c r="E337" s="10">
        <v>2008</v>
      </c>
      <c r="F337" s="10">
        <v>2010</v>
      </c>
      <c r="G337" s="9" t="s">
        <v>50</v>
      </c>
      <c r="H337" s="11">
        <v>37.81</v>
      </c>
      <c r="I337" s="11">
        <v>18.899999999999999</v>
      </c>
      <c r="J337" s="9" t="s">
        <v>89</v>
      </c>
      <c r="K337" s="9" t="s">
        <v>44</v>
      </c>
    </row>
    <row r="338" spans="1:11" x14ac:dyDescent="0.25">
      <c r="A338" s="8" t="s">
        <v>76</v>
      </c>
      <c r="B338" s="9" t="s">
        <v>77</v>
      </c>
      <c r="C338" s="9" t="s">
        <v>53</v>
      </c>
      <c r="D338" s="9" t="s">
        <v>92</v>
      </c>
      <c r="E338" s="10">
        <v>2008</v>
      </c>
      <c r="F338" s="10">
        <v>2010</v>
      </c>
      <c r="G338" s="9" t="s">
        <v>42</v>
      </c>
      <c r="H338" s="11">
        <v>229.95</v>
      </c>
      <c r="I338" s="11">
        <v>114.98</v>
      </c>
      <c r="J338" s="9" t="s">
        <v>89</v>
      </c>
      <c r="K338" s="9" t="s">
        <v>44</v>
      </c>
    </row>
    <row r="339" spans="1:11" x14ac:dyDescent="0.25">
      <c r="A339" s="8" t="s">
        <v>76</v>
      </c>
      <c r="B339" s="9" t="s">
        <v>77</v>
      </c>
      <c r="C339" s="9" t="s">
        <v>53</v>
      </c>
      <c r="D339" s="9" t="s">
        <v>92</v>
      </c>
      <c r="E339" s="10">
        <v>2008</v>
      </c>
      <c r="F339" s="10">
        <v>2010</v>
      </c>
      <c r="G339" s="9" t="s">
        <v>46</v>
      </c>
      <c r="H339" s="11">
        <v>24852.5</v>
      </c>
      <c r="I339" s="11">
        <v>12426.25</v>
      </c>
      <c r="J339" s="9" t="s">
        <v>89</v>
      </c>
      <c r="K339" s="9" t="s">
        <v>44</v>
      </c>
    </row>
    <row r="340" spans="1:11" x14ac:dyDescent="0.25">
      <c r="A340" s="8" t="s">
        <v>78</v>
      </c>
      <c r="B340" s="9" t="s">
        <v>79</v>
      </c>
      <c r="C340" s="9" t="s">
        <v>53</v>
      </c>
      <c r="D340" s="9" t="s">
        <v>92</v>
      </c>
      <c r="E340" s="10">
        <v>2008</v>
      </c>
      <c r="F340" s="10">
        <v>2010</v>
      </c>
      <c r="G340" s="9" t="s">
        <v>42</v>
      </c>
      <c r="H340" s="11">
        <v>1443.83</v>
      </c>
      <c r="I340" s="11">
        <v>721.92</v>
      </c>
      <c r="J340" s="9" t="s">
        <v>89</v>
      </c>
      <c r="K340" s="9" t="s">
        <v>44</v>
      </c>
    </row>
    <row r="341" spans="1:11" x14ac:dyDescent="0.25">
      <c r="A341" s="8" t="s">
        <v>78</v>
      </c>
      <c r="B341" s="9" t="s">
        <v>79</v>
      </c>
      <c r="C341" s="9" t="s">
        <v>53</v>
      </c>
      <c r="D341" s="9" t="s">
        <v>92</v>
      </c>
      <c r="E341" s="10">
        <v>2008</v>
      </c>
      <c r="F341" s="10">
        <v>2010</v>
      </c>
      <c r="G341" s="9" t="s">
        <v>45</v>
      </c>
      <c r="H341" s="11">
        <v>23.96</v>
      </c>
      <c r="I341" s="11">
        <v>11.98</v>
      </c>
      <c r="J341" s="9" t="s">
        <v>89</v>
      </c>
      <c r="K341" s="9" t="s">
        <v>44</v>
      </c>
    </row>
    <row r="342" spans="1:11" x14ac:dyDescent="0.25">
      <c r="A342" s="8" t="s">
        <v>78</v>
      </c>
      <c r="B342" s="9" t="s">
        <v>79</v>
      </c>
      <c r="C342" s="9" t="s">
        <v>53</v>
      </c>
      <c r="D342" s="9" t="s">
        <v>92</v>
      </c>
      <c r="E342" s="10">
        <v>2008</v>
      </c>
      <c r="F342" s="10">
        <v>2010</v>
      </c>
      <c r="G342" s="9" t="s">
        <v>46</v>
      </c>
      <c r="H342" s="11">
        <v>55045.7</v>
      </c>
      <c r="I342" s="11">
        <v>27522.85</v>
      </c>
      <c r="J342" s="9" t="s">
        <v>89</v>
      </c>
      <c r="K342" s="9" t="s">
        <v>44</v>
      </c>
    </row>
    <row r="343" spans="1:11" x14ac:dyDescent="0.25">
      <c r="A343" s="8" t="s">
        <v>78</v>
      </c>
      <c r="B343" s="9" t="s">
        <v>79</v>
      </c>
      <c r="C343" s="9" t="s">
        <v>53</v>
      </c>
      <c r="D343" s="9" t="s">
        <v>92</v>
      </c>
      <c r="E343" s="10">
        <v>2008</v>
      </c>
      <c r="F343" s="10">
        <v>2010</v>
      </c>
      <c r="G343" s="9" t="s">
        <v>50</v>
      </c>
      <c r="H343" s="11">
        <v>2.41</v>
      </c>
      <c r="I343" s="11">
        <v>1.2</v>
      </c>
      <c r="J343" s="9" t="s">
        <v>89</v>
      </c>
      <c r="K343" s="9" t="s">
        <v>44</v>
      </c>
    </row>
    <row r="344" spans="1:11" x14ac:dyDescent="0.25">
      <c r="A344" s="8" t="s">
        <v>80</v>
      </c>
      <c r="B344" s="9" t="s">
        <v>81</v>
      </c>
      <c r="C344" s="9" t="s">
        <v>49</v>
      </c>
      <c r="D344" s="9" t="s">
        <v>92</v>
      </c>
      <c r="E344" s="10">
        <v>2008</v>
      </c>
      <c r="F344" s="10">
        <v>2010</v>
      </c>
      <c r="G344" s="9" t="s">
        <v>42</v>
      </c>
      <c r="H344" s="11">
        <v>69595.929999999993</v>
      </c>
      <c r="I344" s="11">
        <v>34797.96</v>
      </c>
      <c r="J344" s="9" t="s">
        <v>89</v>
      </c>
      <c r="K344" s="9" t="s">
        <v>44</v>
      </c>
    </row>
    <row r="345" spans="1:11" x14ac:dyDescent="0.25">
      <c r="A345" s="8" t="s">
        <v>80</v>
      </c>
      <c r="B345" s="9" t="s">
        <v>81</v>
      </c>
      <c r="C345" s="9" t="s">
        <v>49</v>
      </c>
      <c r="D345" s="9" t="s">
        <v>92</v>
      </c>
      <c r="E345" s="10">
        <v>2008</v>
      </c>
      <c r="F345" s="10">
        <v>2010</v>
      </c>
      <c r="G345" s="9" t="s">
        <v>45</v>
      </c>
      <c r="H345" s="11">
        <v>724.5</v>
      </c>
      <c r="I345" s="11">
        <v>362.25</v>
      </c>
      <c r="J345" s="9" t="s">
        <v>89</v>
      </c>
      <c r="K345" s="9" t="s">
        <v>44</v>
      </c>
    </row>
    <row r="346" spans="1:11" x14ac:dyDescent="0.25">
      <c r="A346" s="8" t="s">
        <v>80</v>
      </c>
      <c r="B346" s="9" t="s">
        <v>81</v>
      </c>
      <c r="C346" s="9" t="s">
        <v>49</v>
      </c>
      <c r="D346" s="9" t="s">
        <v>92</v>
      </c>
      <c r="E346" s="10">
        <v>2008</v>
      </c>
      <c r="F346" s="10">
        <v>2010</v>
      </c>
      <c r="G346" s="9" t="s">
        <v>46</v>
      </c>
      <c r="H346" s="11">
        <v>217377.54</v>
      </c>
      <c r="I346" s="11">
        <v>108688.77</v>
      </c>
      <c r="J346" s="9" t="s">
        <v>89</v>
      </c>
      <c r="K346" s="9" t="s">
        <v>44</v>
      </c>
    </row>
    <row r="347" spans="1:11" x14ac:dyDescent="0.25">
      <c r="A347" s="8" t="s">
        <v>80</v>
      </c>
      <c r="B347" s="9" t="s">
        <v>81</v>
      </c>
      <c r="C347" s="9" t="s">
        <v>49</v>
      </c>
      <c r="D347" s="9" t="s">
        <v>92</v>
      </c>
      <c r="E347" s="10">
        <v>2008</v>
      </c>
      <c r="F347" s="10">
        <v>2010</v>
      </c>
      <c r="G347" s="9" t="s">
        <v>50</v>
      </c>
      <c r="H347" s="11">
        <v>950.31</v>
      </c>
      <c r="I347" s="11">
        <v>475.16</v>
      </c>
      <c r="J347" s="9" t="s">
        <v>89</v>
      </c>
      <c r="K347" s="9" t="s">
        <v>44</v>
      </c>
    </row>
    <row r="348" spans="1:11" x14ac:dyDescent="0.25">
      <c r="A348" s="8" t="s">
        <v>82</v>
      </c>
      <c r="B348" s="9" t="s">
        <v>83</v>
      </c>
      <c r="C348" s="9" t="s">
        <v>40</v>
      </c>
      <c r="D348" s="9" t="s">
        <v>92</v>
      </c>
      <c r="E348" s="10">
        <v>2008</v>
      </c>
      <c r="F348" s="10">
        <v>2010</v>
      </c>
      <c r="G348" s="9" t="s">
        <v>42</v>
      </c>
      <c r="H348" s="11">
        <v>4638.3599999999997</v>
      </c>
      <c r="I348" s="11">
        <v>2319.1799999999998</v>
      </c>
      <c r="J348" s="9" t="s">
        <v>89</v>
      </c>
      <c r="K348" s="9" t="s">
        <v>44</v>
      </c>
    </row>
    <row r="349" spans="1:11" x14ac:dyDescent="0.25">
      <c r="A349" s="8" t="s">
        <v>82</v>
      </c>
      <c r="B349" s="9" t="s">
        <v>83</v>
      </c>
      <c r="C349" s="9" t="s">
        <v>40</v>
      </c>
      <c r="D349" s="9" t="s">
        <v>92</v>
      </c>
      <c r="E349" s="10">
        <v>2008</v>
      </c>
      <c r="F349" s="10">
        <v>2010</v>
      </c>
      <c r="G349" s="9" t="s">
        <v>45</v>
      </c>
      <c r="H349" s="11">
        <v>2.62</v>
      </c>
      <c r="I349" s="11">
        <v>1.31</v>
      </c>
      <c r="J349" s="9" t="s">
        <v>89</v>
      </c>
      <c r="K349" s="9" t="s">
        <v>44</v>
      </c>
    </row>
    <row r="350" spans="1:11" x14ac:dyDescent="0.25">
      <c r="A350" s="8" t="s">
        <v>82</v>
      </c>
      <c r="B350" s="9" t="s">
        <v>83</v>
      </c>
      <c r="C350" s="9" t="s">
        <v>40</v>
      </c>
      <c r="D350" s="9" t="s">
        <v>92</v>
      </c>
      <c r="E350" s="10">
        <v>2008</v>
      </c>
      <c r="F350" s="10">
        <v>2010</v>
      </c>
      <c r="G350" s="9" t="s">
        <v>46</v>
      </c>
      <c r="H350" s="11">
        <v>21923.54</v>
      </c>
      <c r="I350" s="11">
        <v>10961.77</v>
      </c>
      <c r="J350" s="9" t="s">
        <v>89</v>
      </c>
      <c r="K350" s="9" t="s">
        <v>44</v>
      </c>
    </row>
    <row r="351" spans="1:11" x14ac:dyDescent="0.25">
      <c r="A351" s="8" t="s">
        <v>84</v>
      </c>
      <c r="B351" s="9" t="s">
        <v>85</v>
      </c>
      <c r="C351" s="9" t="s">
        <v>85</v>
      </c>
      <c r="D351" s="9" t="s">
        <v>92</v>
      </c>
      <c r="E351" s="10">
        <v>2008</v>
      </c>
      <c r="F351" s="10">
        <v>2010</v>
      </c>
      <c r="G351" s="9" t="s">
        <v>42</v>
      </c>
      <c r="H351" s="11">
        <v>172128</v>
      </c>
      <c r="I351" s="11">
        <v>86064</v>
      </c>
      <c r="J351" s="9" t="s">
        <v>89</v>
      </c>
      <c r="K351" s="9" t="s">
        <v>44</v>
      </c>
    </row>
    <row r="352" spans="1:11" x14ac:dyDescent="0.25">
      <c r="A352" s="8" t="s">
        <v>84</v>
      </c>
      <c r="B352" s="9" t="s">
        <v>85</v>
      </c>
      <c r="C352" s="9" t="s">
        <v>85</v>
      </c>
      <c r="D352" s="9" t="s">
        <v>92</v>
      </c>
      <c r="E352" s="10">
        <v>2008</v>
      </c>
      <c r="F352" s="10">
        <v>2010</v>
      </c>
      <c r="G352" s="9" t="s">
        <v>45</v>
      </c>
      <c r="H352" s="11">
        <v>247.29</v>
      </c>
      <c r="I352" s="11">
        <v>123.64</v>
      </c>
      <c r="J352" s="9" t="s">
        <v>89</v>
      </c>
      <c r="K352" s="9" t="s">
        <v>44</v>
      </c>
    </row>
    <row r="353" spans="1:11" x14ac:dyDescent="0.25">
      <c r="A353" s="8" t="s">
        <v>84</v>
      </c>
      <c r="B353" s="9" t="s">
        <v>85</v>
      </c>
      <c r="C353" s="9" t="s">
        <v>85</v>
      </c>
      <c r="D353" s="9" t="s">
        <v>92</v>
      </c>
      <c r="E353" s="10">
        <v>2008</v>
      </c>
      <c r="F353" s="10">
        <v>2010</v>
      </c>
      <c r="G353" s="9" t="s">
        <v>46</v>
      </c>
      <c r="H353" s="11">
        <v>78189.7</v>
      </c>
      <c r="I353" s="11">
        <v>39094.85</v>
      </c>
      <c r="J353" s="9" t="s">
        <v>89</v>
      </c>
      <c r="K353" s="9" t="s">
        <v>44</v>
      </c>
    </row>
    <row r="354" spans="1:11" x14ac:dyDescent="0.25">
      <c r="A354" s="8" t="s">
        <v>84</v>
      </c>
      <c r="B354" s="9" t="s">
        <v>85</v>
      </c>
      <c r="C354" s="9" t="s">
        <v>85</v>
      </c>
      <c r="D354" s="9" t="s">
        <v>92</v>
      </c>
      <c r="E354" s="10">
        <v>2008</v>
      </c>
      <c r="F354" s="10">
        <v>2010</v>
      </c>
      <c r="G354" s="9" t="s">
        <v>50</v>
      </c>
      <c r="H354" s="11">
        <v>3696.99</v>
      </c>
      <c r="I354" s="11">
        <v>1848.5</v>
      </c>
      <c r="J354" s="9" t="s">
        <v>89</v>
      </c>
      <c r="K354" s="9" t="s">
        <v>44</v>
      </c>
    </row>
    <row r="355" spans="1:11" x14ac:dyDescent="0.25">
      <c r="A355" s="8" t="s">
        <v>86</v>
      </c>
      <c r="B355" s="9" t="s">
        <v>87</v>
      </c>
      <c r="C355" s="9" t="s">
        <v>69</v>
      </c>
      <c r="D355" s="9" t="s">
        <v>92</v>
      </c>
      <c r="E355" s="10">
        <v>2008</v>
      </c>
      <c r="F355" s="10">
        <v>2010</v>
      </c>
      <c r="G355" s="9" t="s">
        <v>42</v>
      </c>
      <c r="H355" s="11">
        <v>143721.70000000001</v>
      </c>
      <c r="I355" s="11">
        <v>71860.850000000006</v>
      </c>
      <c r="J355" s="9" t="s">
        <v>89</v>
      </c>
      <c r="K355" s="9" t="s">
        <v>44</v>
      </c>
    </row>
    <row r="356" spans="1:11" x14ac:dyDescent="0.25">
      <c r="A356" s="8" t="s">
        <v>86</v>
      </c>
      <c r="B356" s="9" t="s">
        <v>87</v>
      </c>
      <c r="C356" s="9" t="s">
        <v>69</v>
      </c>
      <c r="D356" s="9" t="s">
        <v>92</v>
      </c>
      <c r="E356" s="10">
        <v>2008</v>
      </c>
      <c r="F356" s="10">
        <v>2010</v>
      </c>
      <c r="G356" s="9" t="s">
        <v>45</v>
      </c>
      <c r="H356" s="11">
        <v>68.739999999999995</v>
      </c>
      <c r="I356" s="11">
        <v>34.369999999999997</v>
      </c>
      <c r="J356" s="9" t="s">
        <v>89</v>
      </c>
      <c r="K356" s="9" t="s">
        <v>44</v>
      </c>
    </row>
    <row r="357" spans="1:11" x14ac:dyDescent="0.25">
      <c r="A357" s="8" t="s">
        <v>86</v>
      </c>
      <c r="B357" s="9" t="s">
        <v>87</v>
      </c>
      <c r="C357" s="9" t="s">
        <v>69</v>
      </c>
      <c r="D357" s="9" t="s">
        <v>92</v>
      </c>
      <c r="E357" s="10">
        <v>2008</v>
      </c>
      <c r="F357" s="10">
        <v>2010</v>
      </c>
      <c r="G357" s="9" t="s">
        <v>46</v>
      </c>
      <c r="H357" s="11">
        <v>15718.95</v>
      </c>
      <c r="I357" s="11">
        <v>7859.48</v>
      </c>
      <c r="J357" s="9" t="s">
        <v>89</v>
      </c>
      <c r="K357" s="9" t="s">
        <v>44</v>
      </c>
    </row>
    <row r="358" spans="1:11" x14ac:dyDescent="0.25">
      <c r="A358" s="8" t="s">
        <v>86</v>
      </c>
      <c r="B358" s="9" t="s">
        <v>87</v>
      </c>
      <c r="C358" s="9" t="s">
        <v>69</v>
      </c>
      <c r="D358" s="9" t="s">
        <v>92</v>
      </c>
      <c r="E358" s="10">
        <v>2008</v>
      </c>
      <c r="F358" s="10">
        <v>2010</v>
      </c>
      <c r="G358" s="9" t="s">
        <v>50</v>
      </c>
      <c r="H358" s="11">
        <v>5934.82</v>
      </c>
      <c r="I358" s="11">
        <v>2967.41</v>
      </c>
      <c r="J358" s="9" t="s">
        <v>89</v>
      </c>
      <c r="K358" s="9" t="s">
        <v>44</v>
      </c>
    </row>
    <row r="359" spans="1:11" x14ac:dyDescent="0.25">
      <c r="A359" s="12" t="s">
        <v>38</v>
      </c>
      <c r="B359" s="13" t="s">
        <v>39</v>
      </c>
      <c r="C359" s="13" t="s">
        <v>40</v>
      </c>
      <c r="D359" s="13" t="s">
        <v>93</v>
      </c>
      <c r="E359" s="14">
        <v>2010</v>
      </c>
      <c r="F359" s="14">
        <v>2012</v>
      </c>
      <c r="G359" s="13" t="s">
        <v>45</v>
      </c>
      <c r="H359" s="15">
        <v>74.44</v>
      </c>
      <c r="I359" s="15">
        <v>37.22</v>
      </c>
      <c r="J359" s="13" t="s">
        <v>94</v>
      </c>
      <c r="K359" s="13" t="s">
        <v>95</v>
      </c>
    </row>
    <row r="360" spans="1:11" x14ac:dyDescent="0.25">
      <c r="A360" s="12" t="s">
        <v>47</v>
      </c>
      <c r="B360" s="13" t="s">
        <v>48</v>
      </c>
      <c r="C360" s="13" t="s">
        <v>49</v>
      </c>
      <c r="D360" s="13" t="s">
        <v>93</v>
      </c>
      <c r="E360" s="14">
        <v>2010</v>
      </c>
      <c r="F360" s="14">
        <v>2012</v>
      </c>
      <c r="G360" s="13" t="s">
        <v>45</v>
      </c>
      <c r="H360" s="15">
        <v>88.39</v>
      </c>
      <c r="I360" s="15">
        <v>44.2</v>
      </c>
      <c r="J360" s="13" t="s">
        <v>94</v>
      </c>
      <c r="K360" s="13" t="s">
        <v>95</v>
      </c>
    </row>
    <row r="361" spans="1:11" x14ac:dyDescent="0.25">
      <c r="A361" s="12" t="s">
        <v>51</v>
      </c>
      <c r="B361" s="13" t="s">
        <v>52</v>
      </c>
      <c r="C361" s="13" t="s">
        <v>53</v>
      </c>
      <c r="D361" s="13" t="s">
        <v>93</v>
      </c>
      <c r="E361" s="14">
        <v>2010</v>
      </c>
      <c r="F361" s="14">
        <v>2012</v>
      </c>
      <c r="G361" s="13" t="s">
        <v>45</v>
      </c>
      <c r="H361" s="15">
        <v>31.85</v>
      </c>
      <c r="I361" s="15">
        <v>15.92</v>
      </c>
      <c r="J361" s="13" t="s">
        <v>94</v>
      </c>
      <c r="K361" s="13" t="s">
        <v>95</v>
      </c>
    </row>
    <row r="362" spans="1:11" x14ac:dyDescent="0.25">
      <c r="A362" s="12" t="s">
        <v>54</v>
      </c>
      <c r="B362" s="13" t="s">
        <v>55</v>
      </c>
      <c r="C362" s="13" t="s">
        <v>49</v>
      </c>
      <c r="D362" s="13" t="s">
        <v>93</v>
      </c>
      <c r="E362" s="14">
        <v>2010</v>
      </c>
      <c r="F362" s="14">
        <v>2012</v>
      </c>
      <c r="G362" s="13" t="s">
        <v>45</v>
      </c>
      <c r="H362" s="15">
        <v>158.57</v>
      </c>
      <c r="I362" s="15">
        <v>79.28</v>
      </c>
      <c r="J362" s="13" t="s">
        <v>94</v>
      </c>
      <c r="K362" s="13" t="s">
        <v>95</v>
      </c>
    </row>
    <row r="363" spans="1:11" x14ac:dyDescent="0.25">
      <c r="A363" s="12" t="s">
        <v>56</v>
      </c>
      <c r="B363" s="13" t="s">
        <v>57</v>
      </c>
      <c r="C363" s="13" t="s">
        <v>40</v>
      </c>
      <c r="D363" s="13" t="s">
        <v>93</v>
      </c>
      <c r="E363" s="14">
        <v>2010</v>
      </c>
      <c r="F363" s="14">
        <v>2012</v>
      </c>
      <c r="G363" s="13" t="s">
        <v>45</v>
      </c>
      <c r="H363" s="15">
        <v>198.37</v>
      </c>
      <c r="I363" s="15">
        <v>99.18</v>
      </c>
      <c r="J363" s="13" t="s">
        <v>94</v>
      </c>
      <c r="K363" s="13" t="s">
        <v>95</v>
      </c>
    </row>
    <row r="364" spans="1:11" x14ac:dyDescent="0.25">
      <c r="A364" s="12" t="s">
        <v>58</v>
      </c>
      <c r="B364" s="13" t="s">
        <v>59</v>
      </c>
      <c r="C364" s="13" t="s">
        <v>49</v>
      </c>
      <c r="D364" s="13" t="s">
        <v>93</v>
      </c>
      <c r="E364" s="14">
        <v>2010</v>
      </c>
      <c r="F364" s="14">
        <v>2012</v>
      </c>
      <c r="G364" s="13" t="s">
        <v>45</v>
      </c>
      <c r="H364" s="15">
        <v>149.01</v>
      </c>
      <c r="I364" s="15">
        <v>74.5</v>
      </c>
      <c r="J364" s="13" t="s">
        <v>94</v>
      </c>
      <c r="K364" s="13" t="s">
        <v>95</v>
      </c>
    </row>
    <row r="365" spans="1:11" x14ac:dyDescent="0.25">
      <c r="A365" s="12" t="s">
        <v>60</v>
      </c>
      <c r="B365" s="13" t="s">
        <v>61</v>
      </c>
      <c r="C365" s="13" t="s">
        <v>40</v>
      </c>
      <c r="D365" s="13" t="s">
        <v>93</v>
      </c>
      <c r="E365" s="14">
        <v>2010</v>
      </c>
      <c r="F365" s="14">
        <v>2012</v>
      </c>
      <c r="G365" s="13" t="s">
        <v>45</v>
      </c>
      <c r="H365" s="15">
        <v>331.11</v>
      </c>
      <c r="I365" s="15">
        <v>165.56</v>
      </c>
      <c r="J365" s="13" t="s">
        <v>94</v>
      </c>
      <c r="K365" s="13" t="s">
        <v>95</v>
      </c>
    </row>
    <row r="366" spans="1:11" x14ac:dyDescent="0.25">
      <c r="A366" s="12" t="s">
        <v>62</v>
      </c>
      <c r="B366" s="13" t="s">
        <v>63</v>
      </c>
      <c r="C366" s="13" t="s">
        <v>40</v>
      </c>
      <c r="D366" s="13" t="s">
        <v>93</v>
      </c>
      <c r="E366" s="14">
        <v>2010</v>
      </c>
      <c r="F366" s="14">
        <v>2012</v>
      </c>
      <c r="G366" s="13" t="s">
        <v>45</v>
      </c>
      <c r="H366" s="15">
        <v>290.87</v>
      </c>
      <c r="I366" s="15">
        <v>145.44</v>
      </c>
      <c r="J366" s="13" t="s">
        <v>94</v>
      </c>
      <c r="K366" s="13" t="s">
        <v>95</v>
      </c>
    </row>
    <row r="367" spans="1:11" x14ac:dyDescent="0.25">
      <c r="A367" s="12" t="s">
        <v>65</v>
      </c>
      <c r="B367" s="13" t="s">
        <v>66</v>
      </c>
      <c r="C367" s="13" t="s">
        <v>40</v>
      </c>
      <c r="D367" s="13" t="s">
        <v>93</v>
      </c>
      <c r="E367" s="14">
        <v>2010</v>
      </c>
      <c r="F367" s="14">
        <v>2012</v>
      </c>
      <c r="G367" s="13" t="s">
        <v>45</v>
      </c>
      <c r="H367" s="15">
        <v>15.69</v>
      </c>
      <c r="I367" s="15">
        <v>7.84</v>
      </c>
      <c r="J367" s="13" t="s">
        <v>94</v>
      </c>
      <c r="K367" s="13" t="s">
        <v>95</v>
      </c>
    </row>
    <row r="368" spans="1:11" x14ac:dyDescent="0.25">
      <c r="A368" s="12" t="s">
        <v>67</v>
      </c>
      <c r="B368" s="13" t="s">
        <v>68</v>
      </c>
      <c r="C368" s="13" t="s">
        <v>69</v>
      </c>
      <c r="D368" s="13" t="s">
        <v>93</v>
      </c>
      <c r="E368" s="14">
        <v>2010</v>
      </c>
      <c r="F368" s="14">
        <v>2012</v>
      </c>
      <c r="G368" s="13" t="s">
        <v>45</v>
      </c>
      <c r="H368" s="15">
        <v>95.27</v>
      </c>
      <c r="I368" s="15">
        <v>47.64</v>
      </c>
      <c r="J368" s="13" t="s">
        <v>94</v>
      </c>
      <c r="K368" s="13" t="s">
        <v>95</v>
      </c>
    </row>
    <row r="369" spans="1:11" x14ac:dyDescent="0.25">
      <c r="A369" s="12" t="s">
        <v>70</v>
      </c>
      <c r="B369" s="13" t="s">
        <v>71</v>
      </c>
      <c r="C369" s="13" t="s">
        <v>49</v>
      </c>
      <c r="D369" s="13" t="s">
        <v>93</v>
      </c>
      <c r="E369" s="14">
        <v>2010</v>
      </c>
      <c r="F369" s="14">
        <v>2012</v>
      </c>
      <c r="G369" s="13" t="s">
        <v>45</v>
      </c>
      <c r="H369" s="15">
        <v>270.38</v>
      </c>
      <c r="I369" s="15">
        <v>135.19</v>
      </c>
      <c r="J369" s="13" t="s">
        <v>94</v>
      </c>
      <c r="K369" s="13" t="s">
        <v>95</v>
      </c>
    </row>
    <row r="370" spans="1:11" x14ac:dyDescent="0.25">
      <c r="A370" s="12" t="s">
        <v>72</v>
      </c>
      <c r="B370" s="13" t="s">
        <v>73</v>
      </c>
      <c r="C370" s="13" t="s">
        <v>53</v>
      </c>
      <c r="D370" s="13" t="s">
        <v>93</v>
      </c>
      <c r="E370" s="14">
        <v>2010</v>
      </c>
      <c r="F370" s="14">
        <v>2012</v>
      </c>
      <c r="G370" s="13" t="s">
        <v>45</v>
      </c>
      <c r="H370" s="15">
        <v>154.66</v>
      </c>
      <c r="I370" s="15">
        <v>77.33</v>
      </c>
      <c r="J370" s="13" t="s">
        <v>94</v>
      </c>
      <c r="K370" s="13" t="s">
        <v>95</v>
      </c>
    </row>
    <row r="371" spans="1:11" x14ac:dyDescent="0.25">
      <c r="A371" s="12" t="s">
        <v>74</v>
      </c>
      <c r="B371" s="13" t="s">
        <v>75</v>
      </c>
      <c r="C371" s="13" t="s">
        <v>40</v>
      </c>
      <c r="D371" s="13" t="s">
        <v>93</v>
      </c>
      <c r="E371" s="14">
        <v>2010</v>
      </c>
      <c r="F371" s="14">
        <v>2012</v>
      </c>
      <c r="G371" s="13" t="s">
        <v>45</v>
      </c>
      <c r="H371" s="15">
        <v>52.86</v>
      </c>
      <c r="I371" s="15">
        <v>26.43</v>
      </c>
      <c r="J371" s="13" t="s">
        <v>94</v>
      </c>
      <c r="K371" s="13" t="s">
        <v>95</v>
      </c>
    </row>
    <row r="372" spans="1:11" x14ac:dyDescent="0.25">
      <c r="A372" s="12" t="s">
        <v>76</v>
      </c>
      <c r="B372" s="13" t="s">
        <v>77</v>
      </c>
      <c r="C372" s="13" t="s">
        <v>53</v>
      </c>
      <c r="D372" s="13" t="s">
        <v>93</v>
      </c>
      <c r="E372" s="14">
        <v>2010</v>
      </c>
      <c r="F372" s="14">
        <v>2012</v>
      </c>
      <c r="G372" s="13" t="s">
        <v>45</v>
      </c>
      <c r="H372" s="15">
        <v>2.83</v>
      </c>
      <c r="I372" s="15">
        <v>1.42</v>
      </c>
      <c r="J372" s="13" t="s">
        <v>94</v>
      </c>
      <c r="K372" s="13" t="s">
        <v>95</v>
      </c>
    </row>
    <row r="373" spans="1:11" x14ac:dyDescent="0.25">
      <c r="A373" s="12" t="s">
        <v>78</v>
      </c>
      <c r="B373" s="13" t="s">
        <v>79</v>
      </c>
      <c r="C373" s="13" t="s">
        <v>53</v>
      </c>
      <c r="D373" s="13" t="s">
        <v>93</v>
      </c>
      <c r="E373" s="14">
        <v>2010</v>
      </c>
      <c r="F373" s="14">
        <v>2012</v>
      </c>
      <c r="G373" s="13" t="s">
        <v>45</v>
      </c>
      <c r="H373" s="15">
        <v>14.96</v>
      </c>
      <c r="I373" s="15">
        <v>7.48</v>
      </c>
      <c r="J373" s="13" t="s">
        <v>94</v>
      </c>
      <c r="K373" s="13" t="s">
        <v>95</v>
      </c>
    </row>
    <row r="374" spans="1:11" x14ac:dyDescent="0.25">
      <c r="A374" s="12" t="s">
        <v>80</v>
      </c>
      <c r="B374" s="13" t="s">
        <v>81</v>
      </c>
      <c r="C374" s="13" t="s">
        <v>49</v>
      </c>
      <c r="D374" s="13" t="s">
        <v>93</v>
      </c>
      <c r="E374" s="14">
        <v>2010</v>
      </c>
      <c r="F374" s="14">
        <v>2012</v>
      </c>
      <c r="G374" s="13" t="s">
        <v>45</v>
      </c>
      <c r="H374" s="15">
        <v>773.75</v>
      </c>
      <c r="I374" s="15">
        <v>386.88</v>
      </c>
      <c r="J374" s="13" t="s">
        <v>94</v>
      </c>
      <c r="K374" s="13" t="s">
        <v>95</v>
      </c>
    </row>
    <row r="375" spans="1:11" x14ac:dyDescent="0.25">
      <c r="A375" s="12" t="s">
        <v>82</v>
      </c>
      <c r="B375" s="13" t="s">
        <v>83</v>
      </c>
      <c r="C375" s="13" t="s">
        <v>40</v>
      </c>
      <c r="D375" s="13" t="s">
        <v>93</v>
      </c>
      <c r="E375" s="14">
        <v>2010</v>
      </c>
      <c r="F375" s="14">
        <v>2012</v>
      </c>
      <c r="G375" s="13" t="s">
        <v>45</v>
      </c>
      <c r="H375" s="15">
        <v>113.82</v>
      </c>
      <c r="I375" s="15">
        <v>56.91</v>
      </c>
      <c r="J375" s="13" t="s">
        <v>94</v>
      </c>
      <c r="K375" s="13" t="s">
        <v>95</v>
      </c>
    </row>
    <row r="376" spans="1:11" x14ac:dyDescent="0.25">
      <c r="A376" s="12" t="s">
        <v>84</v>
      </c>
      <c r="B376" s="13" t="s">
        <v>85</v>
      </c>
      <c r="C376" s="13" t="s">
        <v>85</v>
      </c>
      <c r="D376" s="13" t="s">
        <v>93</v>
      </c>
      <c r="E376" s="14">
        <v>2010</v>
      </c>
      <c r="F376" s="14">
        <v>2012</v>
      </c>
      <c r="G376" s="13" t="s">
        <v>45</v>
      </c>
      <c r="H376" s="15">
        <v>268.19</v>
      </c>
      <c r="I376" s="15">
        <v>134.1</v>
      </c>
      <c r="J376" s="13" t="s">
        <v>94</v>
      </c>
      <c r="K376" s="13" t="s">
        <v>95</v>
      </c>
    </row>
    <row r="377" spans="1:11" x14ac:dyDescent="0.25">
      <c r="A377" s="12" t="s">
        <v>86</v>
      </c>
      <c r="B377" s="13" t="s">
        <v>87</v>
      </c>
      <c r="C377" s="13" t="s">
        <v>69</v>
      </c>
      <c r="D377" s="13" t="s">
        <v>93</v>
      </c>
      <c r="E377" s="14">
        <v>2010</v>
      </c>
      <c r="F377" s="14">
        <v>2012</v>
      </c>
      <c r="G377" s="13" t="s">
        <v>45</v>
      </c>
      <c r="H377" s="15">
        <v>49.88</v>
      </c>
      <c r="I377" s="15">
        <v>24.94</v>
      </c>
      <c r="J377" s="13" t="s">
        <v>94</v>
      </c>
      <c r="K377" s="13" t="s">
        <v>95</v>
      </c>
    </row>
    <row r="378" spans="1:11" x14ac:dyDescent="0.25">
      <c r="A378" s="8" t="s">
        <v>38</v>
      </c>
      <c r="B378" s="9" t="s">
        <v>39</v>
      </c>
      <c r="C378" s="9" t="s">
        <v>40</v>
      </c>
      <c r="D378" s="9" t="s">
        <v>96</v>
      </c>
      <c r="E378" s="10">
        <v>2012</v>
      </c>
      <c r="F378" s="10">
        <v>2013</v>
      </c>
      <c r="G378" s="9" t="s">
        <v>42</v>
      </c>
      <c r="H378" s="11">
        <v>13505.37</v>
      </c>
      <c r="I378" s="11">
        <v>13505.37</v>
      </c>
      <c r="J378" s="9" t="s">
        <v>97</v>
      </c>
      <c r="K378" s="9" t="s">
        <v>44</v>
      </c>
    </row>
    <row r="379" spans="1:11" x14ac:dyDescent="0.25">
      <c r="A379" s="8" t="s">
        <v>38</v>
      </c>
      <c r="B379" s="9" t="s">
        <v>39</v>
      </c>
      <c r="C379" s="9" t="s">
        <v>40</v>
      </c>
      <c r="D379" s="9" t="s">
        <v>96</v>
      </c>
      <c r="E379" s="10">
        <v>2012</v>
      </c>
      <c r="F379" s="10">
        <v>2013</v>
      </c>
      <c r="G379" s="9" t="s">
        <v>45</v>
      </c>
      <c r="H379" s="11">
        <v>87.29</v>
      </c>
      <c r="I379" s="11">
        <v>87.29</v>
      </c>
      <c r="J379" s="9" t="s">
        <v>97</v>
      </c>
      <c r="K379" s="9" t="s">
        <v>44</v>
      </c>
    </row>
    <row r="380" spans="1:11" x14ac:dyDescent="0.25">
      <c r="A380" s="8" t="s">
        <v>38</v>
      </c>
      <c r="B380" s="9" t="s">
        <v>39</v>
      </c>
      <c r="C380" s="9" t="s">
        <v>40</v>
      </c>
      <c r="D380" s="9" t="s">
        <v>96</v>
      </c>
      <c r="E380" s="10">
        <v>2012</v>
      </c>
      <c r="F380" s="10">
        <v>2013</v>
      </c>
      <c r="G380" s="9" t="s">
        <v>46</v>
      </c>
      <c r="H380" s="11">
        <v>16085.67</v>
      </c>
      <c r="I380" s="11">
        <v>16085.67</v>
      </c>
      <c r="J380" s="9" t="s">
        <v>97</v>
      </c>
      <c r="K380" s="9" t="s">
        <v>44</v>
      </c>
    </row>
    <row r="381" spans="1:11" x14ac:dyDescent="0.25">
      <c r="A381" s="8" t="s">
        <v>38</v>
      </c>
      <c r="B381" s="9" t="s">
        <v>39</v>
      </c>
      <c r="C381" s="9" t="s">
        <v>40</v>
      </c>
      <c r="D381" s="9" t="s">
        <v>96</v>
      </c>
      <c r="E381" s="10">
        <v>2012</v>
      </c>
      <c r="F381" s="10">
        <v>2013</v>
      </c>
      <c r="G381" s="9" t="s">
        <v>50</v>
      </c>
      <c r="H381" s="11">
        <v>5.95</v>
      </c>
      <c r="I381" s="11">
        <v>5.95</v>
      </c>
      <c r="J381" s="9" t="s">
        <v>97</v>
      </c>
      <c r="K381" s="9" t="s">
        <v>44</v>
      </c>
    </row>
    <row r="382" spans="1:11" x14ac:dyDescent="0.25">
      <c r="A382" s="8" t="s">
        <v>47</v>
      </c>
      <c r="B382" s="9" t="s">
        <v>48</v>
      </c>
      <c r="C382" s="9" t="s">
        <v>49</v>
      </c>
      <c r="D382" s="9" t="s">
        <v>96</v>
      </c>
      <c r="E382" s="10">
        <v>2012</v>
      </c>
      <c r="F382" s="10">
        <v>2013</v>
      </c>
      <c r="G382" s="9" t="s">
        <v>42</v>
      </c>
      <c r="H382" s="11">
        <v>18613.45</v>
      </c>
      <c r="I382" s="11">
        <v>18613.45</v>
      </c>
      <c r="J382" s="9" t="s">
        <v>97</v>
      </c>
      <c r="K382" s="9" t="s">
        <v>44</v>
      </c>
    </row>
    <row r="383" spans="1:11" x14ac:dyDescent="0.25">
      <c r="A383" s="8" t="s">
        <v>47</v>
      </c>
      <c r="B383" s="9" t="s">
        <v>48</v>
      </c>
      <c r="C383" s="9" t="s">
        <v>49</v>
      </c>
      <c r="D383" s="9" t="s">
        <v>96</v>
      </c>
      <c r="E383" s="10">
        <v>2012</v>
      </c>
      <c r="F383" s="10">
        <v>2013</v>
      </c>
      <c r="G383" s="9" t="s">
        <v>45</v>
      </c>
      <c r="H383" s="11">
        <v>54.01</v>
      </c>
      <c r="I383" s="11">
        <v>54.01</v>
      </c>
      <c r="J383" s="9" t="s">
        <v>97</v>
      </c>
      <c r="K383" s="9" t="s">
        <v>44</v>
      </c>
    </row>
    <row r="384" spans="1:11" x14ac:dyDescent="0.25">
      <c r="A384" s="8" t="s">
        <v>47</v>
      </c>
      <c r="B384" s="9" t="s">
        <v>48</v>
      </c>
      <c r="C384" s="9" t="s">
        <v>49</v>
      </c>
      <c r="D384" s="9" t="s">
        <v>96</v>
      </c>
      <c r="E384" s="10">
        <v>2012</v>
      </c>
      <c r="F384" s="10">
        <v>2013</v>
      </c>
      <c r="G384" s="9" t="s">
        <v>46</v>
      </c>
      <c r="H384" s="11">
        <v>34595.660000000003</v>
      </c>
      <c r="I384" s="11">
        <v>34595.660000000003</v>
      </c>
      <c r="J384" s="9" t="s">
        <v>97</v>
      </c>
      <c r="K384" s="9" t="s">
        <v>44</v>
      </c>
    </row>
    <row r="385" spans="1:11" x14ac:dyDescent="0.25">
      <c r="A385" s="8" t="s">
        <v>47</v>
      </c>
      <c r="B385" s="9" t="s">
        <v>48</v>
      </c>
      <c r="C385" s="9" t="s">
        <v>49</v>
      </c>
      <c r="D385" s="9" t="s">
        <v>96</v>
      </c>
      <c r="E385" s="10">
        <v>2012</v>
      </c>
      <c r="F385" s="10">
        <v>2013</v>
      </c>
      <c r="G385" s="9" t="s">
        <v>50</v>
      </c>
      <c r="H385" s="11">
        <v>54.01</v>
      </c>
      <c r="I385" s="11">
        <v>54.01</v>
      </c>
      <c r="J385" s="9" t="s">
        <v>97</v>
      </c>
      <c r="K385" s="9" t="s">
        <v>44</v>
      </c>
    </row>
    <row r="386" spans="1:11" x14ac:dyDescent="0.25">
      <c r="A386" s="8" t="s">
        <v>51</v>
      </c>
      <c r="B386" s="9" t="s">
        <v>52</v>
      </c>
      <c r="C386" s="9" t="s">
        <v>53</v>
      </c>
      <c r="D386" s="9" t="s">
        <v>96</v>
      </c>
      <c r="E386" s="10">
        <v>2012</v>
      </c>
      <c r="F386" s="10">
        <v>2013</v>
      </c>
      <c r="G386" s="9" t="s">
        <v>42</v>
      </c>
      <c r="H386" s="11">
        <v>783.81</v>
      </c>
      <c r="I386" s="11">
        <v>783.81</v>
      </c>
      <c r="J386" s="9" t="s">
        <v>97</v>
      </c>
      <c r="K386" s="9" t="s">
        <v>44</v>
      </c>
    </row>
    <row r="387" spans="1:11" x14ac:dyDescent="0.25">
      <c r="A387" s="8" t="s">
        <v>51</v>
      </c>
      <c r="B387" s="9" t="s">
        <v>52</v>
      </c>
      <c r="C387" s="9" t="s">
        <v>53</v>
      </c>
      <c r="D387" s="9" t="s">
        <v>96</v>
      </c>
      <c r="E387" s="10">
        <v>2012</v>
      </c>
      <c r="F387" s="10">
        <v>2013</v>
      </c>
      <c r="G387" s="9" t="s">
        <v>45</v>
      </c>
      <c r="H387" s="11">
        <v>26.21</v>
      </c>
      <c r="I387" s="11">
        <v>26.21</v>
      </c>
      <c r="J387" s="9" t="s">
        <v>97</v>
      </c>
      <c r="K387" s="9" t="s">
        <v>44</v>
      </c>
    </row>
    <row r="388" spans="1:11" x14ac:dyDescent="0.25">
      <c r="A388" s="8" t="s">
        <v>51</v>
      </c>
      <c r="B388" s="9" t="s">
        <v>52</v>
      </c>
      <c r="C388" s="9" t="s">
        <v>53</v>
      </c>
      <c r="D388" s="9" t="s">
        <v>96</v>
      </c>
      <c r="E388" s="10">
        <v>2012</v>
      </c>
      <c r="F388" s="10">
        <v>2013</v>
      </c>
      <c r="G388" s="9" t="s">
        <v>46</v>
      </c>
      <c r="H388" s="11">
        <v>73299.740000000005</v>
      </c>
      <c r="I388" s="11">
        <v>73299.740000000005</v>
      </c>
      <c r="J388" s="9" t="s">
        <v>97</v>
      </c>
      <c r="K388" s="9" t="s">
        <v>44</v>
      </c>
    </row>
    <row r="389" spans="1:11" x14ac:dyDescent="0.25">
      <c r="A389" s="8" t="s">
        <v>51</v>
      </c>
      <c r="B389" s="9" t="s">
        <v>52</v>
      </c>
      <c r="C389" s="9" t="s">
        <v>53</v>
      </c>
      <c r="D389" s="9" t="s">
        <v>96</v>
      </c>
      <c r="E389" s="10">
        <v>2012</v>
      </c>
      <c r="F389" s="10">
        <v>2013</v>
      </c>
      <c r="G389" s="9" t="s">
        <v>50</v>
      </c>
      <c r="H389" s="11">
        <v>10.6</v>
      </c>
      <c r="I389" s="11">
        <v>10.6</v>
      </c>
      <c r="J389" s="9" t="s">
        <v>97</v>
      </c>
      <c r="K389" s="9" t="s">
        <v>44</v>
      </c>
    </row>
    <row r="390" spans="1:11" x14ac:dyDescent="0.25">
      <c r="A390" s="8" t="s">
        <v>54</v>
      </c>
      <c r="B390" s="9" t="s">
        <v>55</v>
      </c>
      <c r="C390" s="9" t="s">
        <v>49</v>
      </c>
      <c r="D390" s="9" t="s">
        <v>96</v>
      </c>
      <c r="E390" s="10">
        <v>2012</v>
      </c>
      <c r="F390" s="10">
        <v>2013</v>
      </c>
      <c r="G390" s="9" t="s">
        <v>42</v>
      </c>
      <c r="H390" s="11">
        <v>5417.73</v>
      </c>
      <c r="I390" s="11">
        <v>5417.73</v>
      </c>
      <c r="J390" s="9" t="s">
        <v>97</v>
      </c>
      <c r="K390" s="9" t="s">
        <v>44</v>
      </c>
    </row>
    <row r="391" spans="1:11" x14ac:dyDescent="0.25">
      <c r="A391" s="8" t="s">
        <v>54</v>
      </c>
      <c r="B391" s="9" t="s">
        <v>55</v>
      </c>
      <c r="C391" s="9" t="s">
        <v>49</v>
      </c>
      <c r="D391" s="9" t="s">
        <v>96</v>
      </c>
      <c r="E391" s="10">
        <v>2012</v>
      </c>
      <c r="F391" s="10">
        <v>2013</v>
      </c>
      <c r="G391" s="9" t="s">
        <v>45</v>
      </c>
      <c r="H391" s="11">
        <v>13.48</v>
      </c>
      <c r="I391" s="11">
        <v>13.48</v>
      </c>
      <c r="J391" s="9" t="s">
        <v>97</v>
      </c>
      <c r="K391" s="9" t="s">
        <v>44</v>
      </c>
    </row>
    <row r="392" spans="1:11" x14ac:dyDescent="0.25">
      <c r="A392" s="8" t="s">
        <v>54</v>
      </c>
      <c r="B392" s="9" t="s">
        <v>55</v>
      </c>
      <c r="C392" s="9" t="s">
        <v>49</v>
      </c>
      <c r="D392" s="9" t="s">
        <v>96</v>
      </c>
      <c r="E392" s="10">
        <v>2012</v>
      </c>
      <c r="F392" s="10">
        <v>2013</v>
      </c>
      <c r="G392" s="9" t="s">
        <v>46</v>
      </c>
      <c r="H392" s="11">
        <v>32620.51</v>
      </c>
      <c r="I392" s="11">
        <v>32620.51</v>
      </c>
      <c r="J392" s="9" t="s">
        <v>97</v>
      </c>
      <c r="K392" s="9" t="s">
        <v>44</v>
      </c>
    </row>
    <row r="393" spans="1:11" x14ac:dyDescent="0.25">
      <c r="A393" s="8" t="s">
        <v>54</v>
      </c>
      <c r="B393" s="9" t="s">
        <v>55</v>
      </c>
      <c r="C393" s="9" t="s">
        <v>49</v>
      </c>
      <c r="D393" s="9" t="s">
        <v>96</v>
      </c>
      <c r="E393" s="10">
        <v>2012</v>
      </c>
      <c r="F393" s="10">
        <v>2013</v>
      </c>
      <c r="G393" s="9" t="s">
        <v>50</v>
      </c>
      <c r="H393" s="11">
        <v>393.39</v>
      </c>
      <c r="I393" s="11">
        <v>393.39</v>
      </c>
      <c r="J393" s="9" t="s">
        <v>97</v>
      </c>
      <c r="K393" s="9" t="s">
        <v>44</v>
      </c>
    </row>
    <row r="394" spans="1:11" x14ac:dyDescent="0.25">
      <c r="A394" s="8" t="s">
        <v>56</v>
      </c>
      <c r="B394" s="9" t="s">
        <v>57</v>
      </c>
      <c r="C394" s="9" t="s">
        <v>40</v>
      </c>
      <c r="D394" s="9" t="s">
        <v>96</v>
      </c>
      <c r="E394" s="10">
        <v>2012</v>
      </c>
      <c r="F394" s="10">
        <v>2013</v>
      </c>
      <c r="G394" s="9" t="s">
        <v>42</v>
      </c>
      <c r="H394" s="11">
        <v>12070.85</v>
      </c>
      <c r="I394" s="11">
        <v>12070.85</v>
      </c>
      <c r="J394" s="9" t="s">
        <v>97</v>
      </c>
      <c r="K394" s="9" t="s">
        <v>44</v>
      </c>
    </row>
    <row r="395" spans="1:11" x14ac:dyDescent="0.25">
      <c r="A395" s="8" t="s">
        <v>56</v>
      </c>
      <c r="B395" s="9" t="s">
        <v>57</v>
      </c>
      <c r="C395" s="9" t="s">
        <v>40</v>
      </c>
      <c r="D395" s="9" t="s">
        <v>96</v>
      </c>
      <c r="E395" s="10">
        <v>2012</v>
      </c>
      <c r="F395" s="10">
        <v>2013</v>
      </c>
      <c r="G395" s="9" t="s">
        <v>45</v>
      </c>
      <c r="H395" s="11">
        <v>232.58</v>
      </c>
      <c r="I395" s="11">
        <v>232.58</v>
      </c>
      <c r="J395" s="9" t="s">
        <v>97</v>
      </c>
      <c r="K395" s="9" t="s">
        <v>44</v>
      </c>
    </row>
    <row r="396" spans="1:11" x14ac:dyDescent="0.25">
      <c r="A396" s="8" t="s">
        <v>56</v>
      </c>
      <c r="B396" s="9" t="s">
        <v>57</v>
      </c>
      <c r="C396" s="9" t="s">
        <v>40</v>
      </c>
      <c r="D396" s="9" t="s">
        <v>96</v>
      </c>
      <c r="E396" s="10">
        <v>2012</v>
      </c>
      <c r="F396" s="10">
        <v>2013</v>
      </c>
      <c r="G396" s="9" t="s">
        <v>46</v>
      </c>
      <c r="H396" s="11">
        <v>24096.34</v>
      </c>
      <c r="I396" s="11">
        <v>24096.34</v>
      </c>
      <c r="J396" s="9" t="s">
        <v>97</v>
      </c>
      <c r="K396" s="9" t="s">
        <v>44</v>
      </c>
    </row>
    <row r="397" spans="1:11" x14ac:dyDescent="0.25">
      <c r="A397" s="8" t="s">
        <v>56</v>
      </c>
      <c r="B397" s="9" t="s">
        <v>57</v>
      </c>
      <c r="C397" s="9" t="s">
        <v>40</v>
      </c>
      <c r="D397" s="9" t="s">
        <v>96</v>
      </c>
      <c r="E397" s="10">
        <v>2012</v>
      </c>
      <c r="F397" s="10">
        <v>2013</v>
      </c>
      <c r="G397" s="9" t="s">
        <v>50</v>
      </c>
      <c r="H397" s="11">
        <v>34.86</v>
      </c>
      <c r="I397" s="11">
        <v>34.86</v>
      </c>
      <c r="J397" s="9" t="s">
        <v>97</v>
      </c>
      <c r="K397" s="9" t="s">
        <v>44</v>
      </c>
    </row>
    <row r="398" spans="1:11" x14ac:dyDescent="0.25">
      <c r="A398" s="8" t="s">
        <v>58</v>
      </c>
      <c r="B398" s="9" t="s">
        <v>59</v>
      </c>
      <c r="C398" s="9" t="s">
        <v>49</v>
      </c>
      <c r="D398" s="9" t="s">
        <v>96</v>
      </c>
      <c r="E398" s="10">
        <v>2012</v>
      </c>
      <c r="F398" s="10">
        <v>2013</v>
      </c>
      <c r="G398" s="9" t="s">
        <v>42</v>
      </c>
      <c r="H398" s="11">
        <v>20201.439999999999</v>
      </c>
      <c r="I398" s="11">
        <v>20201.439999999999</v>
      </c>
      <c r="J398" s="9" t="s">
        <v>97</v>
      </c>
      <c r="K398" s="9" t="s">
        <v>44</v>
      </c>
    </row>
    <row r="399" spans="1:11" x14ac:dyDescent="0.25">
      <c r="A399" s="8" t="s">
        <v>58</v>
      </c>
      <c r="B399" s="9" t="s">
        <v>59</v>
      </c>
      <c r="C399" s="9" t="s">
        <v>49</v>
      </c>
      <c r="D399" s="9" t="s">
        <v>96</v>
      </c>
      <c r="E399" s="10">
        <v>2012</v>
      </c>
      <c r="F399" s="10">
        <v>2013</v>
      </c>
      <c r="G399" s="9" t="s">
        <v>45</v>
      </c>
      <c r="H399" s="11">
        <v>106.81</v>
      </c>
      <c r="I399" s="11">
        <v>106.81</v>
      </c>
      <c r="J399" s="9" t="s">
        <v>97</v>
      </c>
      <c r="K399" s="9" t="s">
        <v>44</v>
      </c>
    </row>
    <row r="400" spans="1:11" x14ac:dyDescent="0.25">
      <c r="A400" s="8" t="s">
        <v>58</v>
      </c>
      <c r="B400" s="9" t="s">
        <v>59</v>
      </c>
      <c r="C400" s="9" t="s">
        <v>49</v>
      </c>
      <c r="D400" s="9" t="s">
        <v>96</v>
      </c>
      <c r="E400" s="10">
        <v>2012</v>
      </c>
      <c r="F400" s="10">
        <v>2013</v>
      </c>
      <c r="G400" s="9" t="s">
        <v>46</v>
      </c>
      <c r="H400" s="11">
        <v>50031</v>
      </c>
      <c r="I400" s="11">
        <v>50031</v>
      </c>
      <c r="J400" s="9" t="s">
        <v>97</v>
      </c>
      <c r="K400" s="9" t="s">
        <v>44</v>
      </c>
    </row>
    <row r="401" spans="1:11" x14ac:dyDescent="0.25">
      <c r="A401" s="8" t="s">
        <v>58</v>
      </c>
      <c r="B401" s="9" t="s">
        <v>59</v>
      </c>
      <c r="C401" s="9" t="s">
        <v>49</v>
      </c>
      <c r="D401" s="9" t="s">
        <v>96</v>
      </c>
      <c r="E401" s="10">
        <v>2012</v>
      </c>
      <c r="F401" s="10">
        <v>2013</v>
      </c>
      <c r="G401" s="9" t="s">
        <v>50</v>
      </c>
      <c r="H401" s="11">
        <v>236.67</v>
      </c>
      <c r="I401" s="11">
        <v>236.67</v>
      </c>
      <c r="J401" s="9" t="s">
        <v>97</v>
      </c>
      <c r="K401" s="9" t="s">
        <v>44</v>
      </c>
    </row>
    <row r="402" spans="1:11" x14ac:dyDescent="0.25">
      <c r="A402" s="8" t="s">
        <v>60</v>
      </c>
      <c r="B402" s="9" t="s">
        <v>61</v>
      </c>
      <c r="C402" s="9" t="s">
        <v>40</v>
      </c>
      <c r="D402" s="9" t="s">
        <v>96</v>
      </c>
      <c r="E402" s="10">
        <v>2012</v>
      </c>
      <c r="F402" s="10">
        <v>2013</v>
      </c>
      <c r="G402" s="9" t="s">
        <v>42</v>
      </c>
      <c r="H402" s="11">
        <v>139521.18</v>
      </c>
      <c r="I402" s="11">
        <v>139521.18</v>
      </c>
      <c r="J402" s="9" t="s">
        <v>97</v>
      </c>
      <c r="K402" s="9" t="s">
        <v>44</v>
      </c>
    </row>
    <row r="403" spans="1:11" x14ac:dyDescent="0.25">
      <c r="A403" s="8" t="s">
        <v>60</v>
      </c>
      <c r="B403" s="9" t="s">
        <v>61</v>
      </c>
      <c r="C403" s="9" t="s">
        <v>40</v>
      </c>
      <c r="D403" s="9" t="s">
        <v>96</v>
      </c>
      <c r="E403" s="10">
        <v>2012</v>
      </c>
      <c r="F403" s="10">
        <v>2013</v>
      </c>
      <c r="G403" s="9" t="s">
        <v>45</v>
      </c>
      <c r="H403" s="11">
        <v>317.91000000000003</v>
      </c>
      <c r="I403" s="11">
        <v>317.91000000000003</v>
      </c>
      <c r="J403" s="9" t="s">
        <v>97</v>
      </c>
      <c r="K403" s="9" t="s">
        <v>44</v>
      </c>
    </row>
    <row r="404" spans="1:11" x14ac:dyDescent="0.25">
      <c r="A404" s="8" t="s">
        <v>60</v>
      </c>
      <c r="B404" s="9" t="s">
        <v>61</v>
      </c>
      <c r="C404" s="9" t="s">
        <v>40</v>
      </c>
      <c r="D404" s="9" t="s">
        <v>96</v>
      </c>
      <c r="E404" s="10">
        <v>2012</v>
      </c>
      <c r="F404" s="10">
        <v>2013</v>
      </c>
      <c r="G404" s="9" t="s">
        <v>46</v>
      </c>
      <c r="H404" s="11">
        <v>48054.83</v>
      </c>
      <c r="I404" s="11">
        <v>48054.83</v>
      </c>
      <c r="J404" s="9" t="s">
        <v>97</v>
      </c>
      <c r="K404" s="9" t="s">
        <v>44</v>
      </c>
    </row>
    <row r="405" spans="1:11" x14ac:dyDescent="0.25">
      <c r="A405" s="8" t="s">
        <v>60</v>
      </c>
      <c r="B405" s="9" t="s">
        <v>61</v>
      </c>
      <c r="C405" s="9" t="s">
        <v>40</v>
      </c>
      <c r="D405" s="9" t="s">
        <v>96</v>
      </c>
      <c r="E405" s="10">
        <v>2012</v>
      </c>
      <c r="F405" s="10">
        <v>2013</v>
      </c>
      <c r="G405" s="9" t="s">
        <v>50</v>
      </c>
      <c r="H405" s="11">
        <v>7257.44</v>
      </c>
      <c r="I405" s="11">
        <v>7257.44</v>
      </c>
      <c r="J405" s="9" t="s">
        <v>97</v>
      </c>
      <c r="K405" s="9" t="s">
        <v>44</v>
      </c>
    </row>
    <row r="406" spans="1:11" x14ac:dyDescent="0.25">
      <c r="A406" s="8" t="s">
        <v>62</v>
      </c>
      <c r="B406" s="9" t="s">
        <v>63</v>
      </c>
      <c r="C406" s="9" t="s">
        <v>40</v>
      </c>
      <c r="D406" s="9" t="s">
        <v>96</v>
      </c>
      <c r="E406" s="10">
        <v>2012</v>
      </c>
      <c r="F406" s="10">
        <v>2013</v>
      </c>
      <c r="G406" s="9" t="s">
        <v>42</v>
      </c>
      <c r="H406" s="11">
        <v>90745.93</v>
      </c>
      <c r="I406" s="11">
        <v>90745.93</v>
      </c>
      <c r="J406" s="9" t="s">
        <v>97</v>
      </c>
      <c r="K406" s="9" t="s">
        <v>44</v>
      </c>
    </row>
    <row r="407" spans="1:11" x14ac:dyDescent="0.25">
      <c r="A407" s="8" t="s">
        <v>62</v>
      </c>
      <c r="B407" s="9" t="s">
        <v>63</v>
      </c>
      <c r="C407" s="9" t="s">
        <v>40</v>
      </c>
      <c r="D407" s="9" t="s">
        <v>96</v>
      </c>
      <c r="E407" s="10">
        <v>2012</v>
      </c>
      <c r="F407" s="10">
        <v>2013</v>
      </c>
      <c r="G407" s="9" t="s">
        <v>45</v>
      </c>
      <c r="H407" s="11">
        <v>306.48</v>
      </c>
      <c r="I407" s="11">
        <v>306.48</v>
      </c>
      <c r="J407" s="9" t="s">
        <v>97</v>
      </c>
      <c r="K407" s="9" t="s">
        <v>44</v>
      </c>
    </row>
    <row r="408" spans="1:11" x14ac:dyDescent="0.25">
      <c r="A408" s="8" t="s">
        <v>62</v>
      </c>
      <c r="B408" s="9" t="s">
        <v>63</v>
      </c>
      <c r="C408" s="9" t="s">
        <v>40</v>
      </c>
      <c r="D408" s="9" t="s">
        <v>96</v>
      </c>
      <c r="E408" s="10">
        <v>2012</v>
      </c>
      <c r="F408" s="10">
        <v>2013</v>
      </c>
      <c r="G408" s="9" t="s">
        <v>46</v>
      </c>
      <c r="H408" s="11">
        <v>43658.51</v>
      </c>
      <c r="I408" s="11">
        <v>43658.51</v>
      </c>
      <c r="J408" s="9" t="s">
        <v>97</v>
      </c>
      <c r="K408" s="9" t="s">
        <v>44</v>
      </c>
    </row>
    <row r="409" spans="1:11" x14ac:dyDescent="0.25">
      <c r="A409" s="8" t="s">
        <v>62</v>
      </c>
      <c r="B409" s="9" t="s">
        <v>63</v>
      </c>
      <c r="C409" s="9" t="s">
        <v>40</v>
      </c>
      <c r="D409" s="9" t="s">
        <v>96</v>
      </c>
      <c r="E409" s="10">
        <v>2012</v>
      </c>
      <c r="F409" s="10">
        <v>2013</v>
      </c>
      <c r="G409" s="9" t="s">
        <v>50</v>
      </c>
      <c r="H409" s="11">
        <v>3618.63</v>
      </c>
      <c r="I409" s="11">
        <v>3618.63</v>
      </c>
      <c r="J409" s="9" t="s">
        <v>97</v>
      </c>
      <c r="K409" s="9" t="s">
        <v>44</v>
      </c>
    </row>
    <row r="410" spans="1:11" x14ac:dyDescent="0.25">
      <c r="A410" s="8" t="s">
        <v>65</v>
      </c>
      <c r="B410" s="9" t="s">
        <v>66</v>
      </c>
      <c r="C410" s="9" t="s">
        <v>40</v>
      </c>
      <c r="D410" s="9" t="s">
        <v>96</v>
      </c>
      <c r="E410" s="10">
        <v>2012</v>
      </c>
      <c r="F410" s="10">
        <v>2013</v>
      </c>
      <c r="G410" s="9" t="s">
        <v>42</v>
      </c>
      <c r="H410" s="11">
        <v>1378.37</v>
      </c>
      <c r="I410" s="11">
        <v>1378.37</v>
      </c>
      <c r="J410" s="9" t="s">
        <v>97</v>
      </c>
      <c r="K410" s="9" t="s">
        <v>44</v>
      </c>
    </row>
    <row r="411" spans="1:11" x14ac:dyDescent="0.25">
      <c r="A411" s="8" t="s">
        <v>65</v>
      </c>
      <c r="B411" s="9" t="s">
        <v>66</v>
      </c>
      <c r="C411" s="9" t="s">
        <v>40</v>
      </c>
      <c r="D411" s="9" t="s">
        <v>96</v>
      </c>
      <c r="E411" s="10">
        <v>2012</v>
      </c>
      <c r="F411" s="10">
        <v>2013</v>
      </c>
      <c r="G411" s="9" t="s">
        <v>45</v>
      </c>
      <c r="H411" s="11">
        <v>18.22</v>
      </c>
      <c r="I411" s="11">
        <v>18.22</v>
      </c>
      <c r="J411" s="9" t="s">
        <v>97</v>
      </c>
      <c r="K411" s="9" t="s">
        <v>44</v>
      </c>
    </row>
    <row r="412" spans="1:11" x14ac:dyDescent="0.25">
      <c r="A412" s="8" t="s">
        <v>65</v>
      </c>
      <c r="B412" s="9" t="s">
        <v>66</v>
      </c>
      <c r="C412" s="9" t="s">
        <v>40</v>
      </c>
      <c r="D412" s="9" t="s">
        <v>96</v>
      </c>
      <c r="E412" s="10">
        <v>2012</v>
      </c>
      <c r="F412" s="10">
        <v>2013</v>
      </c>
      <c r="G412" s="9" t="s">
        <v>46</v>
      </c>
      <c r="H412" s="11">
        <v>7932.31</v>
      </c>
      <c r="I412" s="11">
        <v>7932.31</v>
      </c>
      <c r="J412" s="9" t="s">
        <v>97</v>
      </c>
      <c r="K412" s="9" t="s">
        <v>44</v>
      </c>
    </row>
    <row r="413" spans="1:11" x14ac:dyDescent="0.25">
      <c r="A413" s="8" t="s">
        <v>65</v>
      </c>
      <c r="B413" s="9" t="s">
        <v>66</v>
      </c>
      <c r="C413" s="9" t="s">
        <v>40</v>
      </c>
      <c r="D413" s="9" t="s">
        <v>96</v>
      </c>
      <c r="E413" s="10">
        <v>2012</v>
      </c>
      <c r="F413" s="10">
        <v>2013</v>
      </c>
      <c r="G413" s="9" t="s">
        <v>50</v>
      </c>
      <c r="H413" s="11">
        <v>2.42</v>
      </c>
      <c r="I413" s="11">
        <v>2.42</v>
      </c>
      <c r="J413" s="9" t="s">
        <v>97</v>
      </c>
      <c r="K413" s="9" t="s">
        <v>44</v>
      </c>
    </row>
    <row r="414" spans="1:11" x14ac:dyDescent="0.25">
      <c r="A414" s="8" t="s">
        <v>67</v>
      </c>
      <c r="B414" s="9" t="s">
        <v>68</v>
      </c>
      <c r="C414" s="9" t="s">
        <v>69</v>
      </c>
      <c r="D414" s="9" t="s">
        <v>96</v>
      </c>
      <c r="E414" s="10">
        <v>2012</v>
      </c>
      <c r="F414" s="10">
        <v>2013</v>
      </c>
      <c r="G414" s="9" t="s">
        <v>42</v>
      </c>
      <c r="H414" s="11">
        <v>95068.81</v>
      </c>
      <c r="I414" s="11">
        <v>95068.81</v>
      </c>
      <c r="J414" s="9" t="s">
        <v>97</v>
      </c>
      <c r="K414" s="9" t="s">
        <v>44</v>
      </c>
    </row>
    <row r="415" spans="1:11" x14ac:dyDescent="0.25">
      <c r="A415" s="8" t="s">
        <v>67</v>
      </c>
      <c r="B415" s="9" t="s">
        <v>68</v>
      </c>
      <c r="C415" s="9" t="s">
        <v>69</v>
      </c>
      <c r="D415" s="9" t="s">
        <v>96</v>
      </c>
      <c r="E415" s="10">
        <v>2012</v>
      </c>
      <c r="F415" s="10">
        <v>2013</v>
      </c>
      <c r="G415" s="9" t="s">
        <v>45</v>
      </c>
      <c r="H415" s="11">
        <v>19.059999999999999</v>
      </c>
      <c r="I415" s="11">
        <v>19.059999999999999</v>
      </c>
      <c r="J415" s="9" t="s">
        <v>97</v>
      </c>
      <c r="K415" s="9" t="s">
        <v>44</v>
      </c>
    </row>
    <row r="416" spans="1:11" x14ac:dyDescent="0.25">
      <c r="A416" s="8" t="s">
        <v>67</v>
      </c>
      <c r="B416" s="9" t="s">
        <v>68</v>
      </c>
      <c r="C416" s="9" t="s">
        <v>69</v>
      </c>
      <c r="D416" s="9" t="s">
        <v>96</v>
      </c>
      <c r="E416" s="10">
        <v>2012</v>
      </c>
      <c r="F416" s="10">
        <v>2013</v>
      </c>
      <c r="G416" s="9" t="s">
        <v>46</v>
      </c>
      <c r="H416" s="11">
        <v>17030.580000000002</v>
      </c>
      <c r="I416" s="11">
        <v>17030.580000000002</v>
      </c>
      <c r="J416" s="9" t="s">
        <v>97</v>
      </c>
      <c r="K416" s="9" t="s">
        <v>44</v>
      </c>
    </row>
    <row r="417" spans="1:11" x14ac:dyDescent="0.25">
      <c r="A417" s="8" t="s">
        <v>67</v>
      </c>
      <c r="B417" s="9" t="s">
        <v>68</v>
      </c>
      <c r="C417" s="9" t="s">
        <v>69</v>
      </c>
      <c r="D417" s="9" t="s">
        <v>96</v>
      </c>
      <c r="E417" s="10">
        <v>2012</v>
      </c>
      <c r="F417" s="10">
        <v>2013</v>
      </c>
      <c r="G417" s="9" t="s">
        <v>50</v>
      </c>
      <c r="H417" s="11">
        <v>12952.36</v>
      </c>
      <c r="I417" s="11">
        <v>12952.36</v>
      </c>
      <c r="J417" s="9" t="s">
        <v>97</v>
      </c>
      <c r="K417" s="9" t="s">
        <v>44</v>
      </c>
    </row>
    <row r="418" spans="1:11" x14ac:dyDescent="0.25">
      <c r="A418" s="8" t="s">
        <v>70</v>
      </c>
      <c r="B418" s="9" t="s">
        <v>71</v>
      </c>
      <c r="C418" s="9" t="s">
        <v>49</v>
      </c>
      <c r="D418" s="9" t="s">
        <v>96</v>
      </c>
      <c r="E418" s="10">
        <v>2012</v>
      </c>
      <c r="F418" s="10">
        <v>2013</v>
      </c>
      <c r="G418" s="9" t="s">
        <v>42</v>
      </c>
      <c r="H418" s="11">
        <v>66454.66</v>
      </c>
      <c r="I418" s="11">
        <v>66454.66</v>
      </c>
      <c r="J418" s="9" t="s">
        <v>97</v>
      </c>
      <c r="K418" s="9" t="s">
        <v>44</v>
      </c>
    </row>
    <row r="419" spans="1:11" x14ac:dyDescent="0.25">
      <c r="A419" s="8" t="s">
        <v>70</v>
      </c>
      <c r="B419" s="9" t="s">
        <v>71</v>
      </c>
      <c r="C419" s="9" t="s">
        <v>49</v>
      </c>
      <c r="D419" s="9" t="s">
        <v>96</v>
      </c>
      <c r="E419" s="10">
        <v>2012</v>
      </c>
      <c r="F419" s="10">
        <v>2013</v>
      </c>
      <c r="G419" s="9" t="s">
        <v>45</v>
      </c>
      <c r="H419" s="11">
        <v>43.32</v>
      </c>
      <c r="I419" s="11">
        <v>43.32</v>
      </c>
      <c r="J419" s="9" t="s">
        <v>97</v>
      </c>
      <c r="K419" s="9" t="s">
        <v>44</v>
      </c>
    </row>
    <row r="420" spans="1:11" x14ac:dyDescent="0.25">
      <c r="A420" s="8" t="s">
        <v>70</v>
      </c>
      <c r="B420" s="9" t="s">
        <v>71</v>
      </c>
      <c r="C420" s="9" t="s">
        <v>49</v>
      </c>
      <c r="D420" s="9" t="s">
        <v>96</v>
      </c>
      <c r="E420" s="10">
        <v>2012</v>
      </c>
      <c r="F420" s="10">
        <v>2013</v>
      </c>
      <c r="G420" s="9" t="s">
        <v>46</v>
      </c>
      <c r="H420" s="11">
        <v>37069.71</v>
      </c>
      <c r="I420" s="11">
        <v>37069.71</v>
      </c>
      <c r="J420" s="9" t="s">
        <v>97</v>
      </c>
      <c r="K420" s="9" t="s">
        <v>44</v>
      </c>
    </row>
    <row r="421" spans="1:11" x14ac:dyDescent="0.25">
      <c r="A421" s="8" t="s">
        <v>70</v>
      </c>
      <c r="B421" s="9" t="s">
        <v>71</v>
      </c>
      <c r="C421" s="9" t="s">
        <v>49</v>
      </c>
      <c r="D421" s="9" t="s">
        <v>96</v>
      </c>
      <c r="E421" s="10">
        <v>2012</v>
      </c>
      <c r="F421" s="10">
        <v>2013</v>
      </c>
      <c r="G421" s="9" t="s">
        <v>50</v>
      </c>
      <c r="H421" s="11">
        <v>2434.83</v>
      </c>
      <c r="I421" s="11">
        <v>2434.83</v>
      </c>
      <c r="J421" s="9" t="s">
        <v>97</v>
      </c>
      <c r="K421" s="9" t="s">
        <v>44</v>
      </c>
    </row>
    <row r="422" spans="1:11" x14ac:dyDescent="0.25">
      <c r="A422" s="8" t="s">
        <v>72</v>
      </c>
      <c r="B422" s="9" t="s">
        <v>73</v>
      </c>
      <c r="C422" s="9" t="s">
        <v>53</v>
      </c>
      <c r="D422" s="9" t="s">
        <v>96</v>
      </c>
      <c r="E422" s="10">
        <v>2012</v>
      </c>
      <c r="F422" s="10">
        <v>2013</v>
      </c>
      <c r="G422" s="9" t="s">
        <v>42</v>
      </c>
      <c r="H422" s="11">
        <v>14974.09</v>
      </c>
      <c r="I422" s="11">
        <v>14974.09</v>
      </c>
      <c r="J422" s="9" t="s">
        <v>97</v>
      </c>
      <c r="K422" s="9" t="s">
        <v>44</v>
      </c>
    </row>
    <row r="423" spans="1:11" x14ac:dyDescent="0.25">
      <c r="A423" s="8" t="s">
        <v>72</v>
      </c>
      <c r="B423" s="9" t="s">
        <v>73</v>
      </c>
      <c r="C423" s="9" t="s">
        <v>53</v>
      </c>
      <c r="D423" s="9" t="s">
        <v>96</v>
      </c>
      <c r="E423" s="10">
        <v>2012</v>
      </c>
      <c r="F423" s="10">
        <v>2013</v>
      </c>
      <c r="G423" s="9" t="s">
        <v>45</v>
      </c>
      <c r="H423" s="11">
        <v>68.599999999999994</v>
      </c>
      <c r="I423" s="11">
        <v>68.599999999999994</v>
      </c>
      <c r="J423" s="9" t="s">
        <v>97</v>
      </c>
      <c r="K423" s="9" t="s">
        <v>44</v>
      </c>
    </row>
    <row r="424" spans="1:11" x14ac:dyDescent="0.25">
      <c r="A424" s="8" t="s">
        <v>72</v>
      </c>
      <c r="B424" s="9" t="s">
        <v>73</v>
      </c>
      <c r="C424" s="9" t="s">
        <v>53</v>
      </c>
      <c r="D424" s="9" t="s">
        <v>96</v>
      </c>
      <c r="E424" s="10">
        <v>2012</v>
      </c>
      <c r="F424" s="10">
        <v>2013</v>
      </c>
      <c r="G424" s="9" t="s">
        <v>46</v>
      </c>
      <c r="H424" s="11">
        <v>109515.83</v>
      </c>
      <c r="I424" s="11">
        <v>109515.83</v>
      </c>
      <c r="J424" s="9" t="s">
        <v>97</v>
      </c>
      <c r="K424" s="9" t="s">
        <v>44</v>
      </c>
    </row>
    <row r="425" spans="1:11" x14ac:dyDescent="0.25">
      <c r="A425" s="8" t="s">
        <v>72</v>
      </c>
      <c r="B425" s="9" t="s">
        <v>73</v>
      </c>
      <c r="C425" s="9" t="s">
        <v>53</v>
      </c>
      <c r="D425" s="9" t="s">
        <v>96</v>
      </c>
      <c r="E425" s="10">
        <v>2012</v>
      </c>
      <c r="F425" s="10">
        <v>2013</v>
      </c>
      <c r="G425" s="9" t="s">
        <v>50</v>
      </c>
      <c r="H425" s="11">
        <v>709.91</v>
      </c>
      <c r="I425" s="11">
        <v>709.91</v>
      </c>
      <c r="J425" s="9" t="s">
        <v>97</v>
      </c>
      <c r="K425" s="9" t="s">
        <v>44</v>
      </c>
    </row>
    <row r="426" spans="1:11" x14ac:dyDescent="0.25">
      <c r="A426" s="8" t="s">
        <v>74</v>
      </c>
      <c r="B426" s="9" t="s">
        <v>75</v>
      </c>
      <c r="C426" s="9" t="s">
        <v>40</v>
      </c>
      <c r="D426" s="9" t="s">
        <v>96</v>
      </c>
      <c r="E426" s="10">
        <v>2012</v>
      </c>
      <c r="F426" s="10">
        <v>2013</v>
      </c>
      <c r="G426" s="9" t="s">
        <v>42</v>
      </c>
      <c r="H426" s="11">
        <v>14266.5</v>
      </c>
      <c r="I426" s="11">
        <v>14266.5</v>
      </c>
      <c r="J426" s="9" t="s">
        <v>97</v>
      </c>
      <c r="K426" s="9" t="s">
        <v>44</v>
      </c>
    </row>
    <row r="427" spans="1:11" x14ac:dyDescent="0.25">
      <c r="A427" s="8" t="s">
        <v>74</v>
      </c>
      <c r="B427" s="9" t="s">
        <v>75</v>
      </c>
      <c r="C427" s="9" t="s">
        <v>40</v>
      </c>
      <c r="D427" s="9" t="s">
        <v>96</v>
      </c>
      <c r="E427" s="10">
        <v>2012</v>
      </c>
      <c r="F427" s="10">
        <v>2013</v>
      </c>
      <c r="G427" s="9" t="s">
        <v>45</v>
      </c>
      <c r="H427" s="11">
        <v>58.1</v>
      </c>
      <c r="I427" s="11">
        <v>58.1</v>
      </c>
      <c r="J427" s="9" t="s">
        <v>97</v>
      </c>
      <c r="K427" s="9" t="s">
        <v>44</v>
      </c>
    </row>
    <row r="428" spans="1:11" x14ac:dyDescent="0.25">
      <c r="A428" s="8" t="s">
        <v>74</v>
      </c>
      <c r="B428" s="9" t="s">
        <v>75</v>
      </c>
      <c r="C428" s="9" t="s">
        <v>40</v>
      </c>
      <c r="D428" s="9" t="s">
        <v>96</v>
      </c>
      <c r="E428" s="10">
        <v>2012</v>
      </c>
      <c r="F428" s="10">
        <v>2013</v>
      </c>
      <c r="G428" s="9" t="s">
        <v>46</v>
      </c>
      <c r="H428" s="11">
        <v>28998.62</v>
      </c>
      <c r="I428" s="11">
        <v>28998.62</v>
      </c>
      <c r="J428" s="9" t="s">
        <v>97</v>
      </c>
      <c r="K428" s="9" t="s">
        <v>44</v>
      </c>
    </row>
    <row r="429" spans="1:11" x14ac:dyDescent="0.25">
      <c r="A429" s="8" t="s">
        <v>74</v>
      </c>
      <c r="B429" s="9" t="s">
        <v>75</v>
      </c>
      <c r="C429" s="9" t="s">
        <v>40</v>
      </c>
      <c r="D429" s="9" t="s">
        <v>96</v>
      </c>
      <c r="E429" s="10">
        <v>2012</v>
      </c>
      <c r="F429" s="10">
        <v>2013</v>
      </c>
      <c r="G429" s="9" t="s">
        <v>50</v>
      </c>
      <c r="H429" s="11">
        <v>79.010000000000005</v>
      </c>
      <c r="I429" s="11">
        <v>79.010000000000005</v>
      </c>
      <c r="J429" s="9" t="s">
        <v>97</v>
      </c>
      <c r="K429" s="9" t="s">
        <v>44</v>
      </c>
    </row>
    <row r="430" spans="1:11" x14ac:dyDescent="0.25">
      <c r="A430" s="8" t="s">
        <v>76</v>
      </c>
      <c r="B430" s="9" t="s">
        <v>77</v>
      </c>
      <c r="C430" s="9" t="s">
        <v>53</v>
      </c>
      <c r="D430" s="9" t="s">
        <v>96</v>
      </c>
      <c r="E430" s="10">
        <v>2012</v>
      </c>
      <c r="F430" s="10">
        <v>2013</v>
      </c>
      <c r="G430" s="9" t="s">
        <v>42</v>
      </c>
      <c r="H430" s="11">
        <v>67.86</v>
      </c>
      <c r="I430" s="11">
        <v>67.86</v>
      </c>
      <c r="J430" s="9" t="s">
        <v>97</v>
      </c>
      <c r="K430" s="9" t="s">
        <v>44</v>
      </c>
    </row>
    <row r="431" spans="1:11" x14ac:dyDescent="0.25">
      <c r="A431" s="8" t="s">
        <v>76</v>
      </c>
      <c r="B431" s="9" t="s">
        <v>77</v>
      </c>
      <c r="C431" s="9" t="s">
        <v>53</v>
      </c>
      <c r="D431" s="9" t="s">
        <v>96</v>
      </c>
      <c r="E431" s="10">
        <v>2012</v>
      </c>
      <c r="F431" s="10">
        <v>2013</v>
      </c>
      <c r="G431" s="9" t="s">
        <v>46</v>
      </c>
      <c r="H431" s="11">
        <v>25020.89</v>
      </c>
      <c r="I431" s="11">
        <v>25020.89</v>
      </c>
      <c r="J431" s="9" t="s">
        <v>97</v>
      </c>
      <c r="K431" s="9" t="s">
        <v>44</v>
      </c>
    </row>
    <row r="432" spans="1:11" x14ac:dyDescent="0.25">
      <c r="A432" s="8" t="s">
        <v>76</v>
      </c>
      <c r="B432" s="9" t="s">
        <v>77</v>
      </c>
      <c r="C432" s="9" t="s">
        <v>53</v>
      </c>
      <c r="D432" s="9" t="s">
        <v>96</v>
      </c>
      <c r="E432" s="10">
        <v>2012</v>
      </c>
      <c r="F432" s="10">
        <v>2013</v>
      </c>
      <c r="G432" s="9" t="s">
        <v>50</v>
      </c>
      <c r="H432" s="11">
        <v>10.88</v>
      </c>
      <c r="I432" s="11">
        <v>10.88</v>
      </c>
      <c r="J432" s="9" t="s">
        <v>97</v>
      </c>
      <c r="K432" s="9" t="s">
        <v>44</v>
      </c>
    </row>
    <row r="433" spans="1:11" x14ac:dyDescent="0.25">
      <c r="A433" s="8" t="s">
        <v>78</v>
      </c>
      <c r="B433" s="9" t="s">
        <v>79</v>
      </c>
      <c r="C433" s="9" t="s">
        <v>53</v>
      </c>
      <c r="D433" s="9" t="s">
        <v>96</v>
      </c>
      <c r="E433" s="10">
        <v>2012</v>
      </c>
      <c r="F433" s="10">
        <v>2013</v>
      </c>
      <c r="G433" s="9" t="s">
        <v>42</v>
      </c>
      <c r="H433" s="11">
        <v>1323.99</v>
      </c>
      <c r="I433" s="11">
        <v>1323.99</v>
      </c>
      <c r="J433" s="9" t="s">
        <v>97</v>
      </c>
      <c r="K433" s="9" t="s">
        <v>44</v>
      </c>
    </row>
    <row r="434" spans="1:11" x14ac:dyDescent="0.25">
      <c r="A434" s="8" t="s">
        <v>78</v>
      </c>
      <c r="B434" s="9" t="s">
        <v>79</v>
      </c>
      <c r="C434" s="9" t="s">
        <v>53</v>
      </c>
      <c r="D434" s="9" t="s">
        <v>96</v>
      </c>
      <c r="E434" s="10">
        <v>2012</v>
      </c>
      <c r="F434" s="10">
        <v>2013</v>
      </c>
      <c r="G434" s="9" t="s">
        <v>45</v>
      </c>
      <c r="H434" s="11">
        <v>5.86</v>
      </c>
      <c r="I434" s="11">
        <v>5.86</v>
      </c>
      <c r="J434" s="9" t="s">
        <v>97</v>
      </c>
      <c r="K434" s="9" t="s">
        <v>44</v>
      </c>
    </row>
    <row r="435" spans="1:11" x14ac:dyDescent="0.25">
      <c r="A435" s="8" t="s">
        <v>78</v>
      </c>
      <c r="B435" s="9" t="s">
        <v>79</v>
      </c>
      <c r="C435" s="9" t="s">
        <v>53</v>
      </c>
      <c r="D435" s="9" t="s">
        <v>96</v>
      </c>
      <c r="E435" s="10">
        <v>2012</v>
      </c>
      <c r="F435" s="10">
        <v>2013</v>
      </c>
      <c r="G435" s="9" t="s">
        <v>46</v>
      </c>
      <c r="H435" s="11">
        <v>55076.43</v>
      </c>
      <c r="I435" s="11">
        <v>55076.43</v>
      </c>
      <c r="J435" s="9" t="s">
        <v>97</v>
      </c>
      <c r="K435" s="9" t="s">
        <v>44</v>
      </c>
    </row>
    <row r="436" spans="1:11" x14ac:dyDescent="0.25">
      <c r="A436" s="8" t="s">
        <v>78</v>
      </c>
      <c r="B436" s="9" t="s">
        <v>79</v>
      </c>
      <c r="C436" s="9" t="s">
        <v>53</v>
      </c>
      <c r="D436" s="9" t="s">
        <v>96</v>
      </c>
      <c r="E436" s="10">
        <v>2012</v>
      </c>
      <c r="F436" s="10">
        <v>2013</v>
      </c>
      <c r="G436" s="9" t="s">
        <v>50</v>
      </c>
      <c r="H436" s="11">
        <v>125.12</v>
      </c>
      <c r="I436" s="11">
        <v>125.12</v>
      </c>
      <c r="J436" s="9" t="s">
        <v>97</v>
      </c>
      <c r="K436" s="9" t="s">
        <v>44</v>
      </c>
    </row>
    <row r="437" spans="1:11" x14ac:dyDescent="0.25">
      <c r="A437" s="8" t="s">
        <v>80</v>
      </c>
      <c r="B437" s="9" t="s">
        <v>81</v>
      </c>
      <c r="C437" s="9" t="s">
        <v>49</v>
      </c>
      <c r="D437" s="9" t="s">
        <v>96</v>
      </c>
      <c r="E437" s="10">
        <v>2012</v>
      </c>
      <c r="F437" s="10">
        <v>2013</v>
      </c>
      <c r="G437" s="9" t="s">
        <v>42</v>
      </c>
      <c r="H437" s="11">
        <v>65529.46</v>
      </c>
      <c r="I437" s="11">
        <v>65529.46</v>
      </c>
      <c r="J437" s="9" t="s">
        <v>97</v>
      </c>
      <c r="K437" s="9" t="s">
        <v>44</v>
      </c>
    </row>
    <row r="438" spans="1:11" x14ac:dyDescent="0.25">
      <c r="A438" s="8" t="s">
        <v>80</v>
      </c>
      <c r="B438" s="9" t="s">
        <v>81</v>
      </c>
      <c r="C438" s="9" t="s">
        <v>49</v>
      </c>
      <c r="D438" s="9" t="s">
        <v>96</v>
      </c>
      <c r="E438" s="10">
        <v>2012</v>
      </c>
      <c r="F438" s="10">
        <v>2013</v>
      </c>
      <c r="G438" s="9" t="s">
        <v>45</v>
      </c>
      <c r="H438" s="11">
        <v>560.35</v>
      </c>
      <c r="I438" s="11">
        <v>560.35</v>
      </c>
      <c r="J438" s="9" t="s">
        <v>97</v>
      </c>
      <c r="K438" s="9" t="s">
        <v>44</v>
      </c>
    </row>
    <row r="439" spans="1:11" x14ac:dyDescent="0.25">
      <c r="A439" s="8" t="s">
        <v>80</v>
      </c>
      <c r="B439" s="9" t="s">
        <v>81</v>
      </c>
      <c r="C439" s="9" t="s">
        <v>49</v>
      </c>
      <c r="D439" s="9" t="s">
        <v>96</v>
      </c>
      <c r="E439" s="10">
        <v>2012</v>
      </c>
      <c r="F439" s="10">
        <v>2013</v>
      </c>
      <c r="G439" s="9" t="s">
        <v>46</v>
      </c>
      <c r="H439" s="11">
        <v>219715.27</v>
      </c>
      <c r="I439" s="11">
        <v>219715.27</v>
      </c>
      <c r="J439" s="9" t="s">
        <v>97</v>
      </c>
      <c r="K439" s="9" t="s">
        <v>44</v>
      </c>
    </row>
    <row r="440" spans="1:11" x14ac:dyDescent="0.25">
      <c r="A440" s="8" t="s">
        <v>80</v>
      </c>
      <c r="B440" s="9" t="s">
        <v>81</v>
      </c>
      <c r="C440" s="9" t="s">
        <v>49</v>
      </c>
      <c r="D440" s="9" t="s">
        <v>96</v>
      </c>
      <c r="E440" s="10">
        <v>2012</v>
      </c>
      <c r="F440" s="10">
        <v>2013</v>
      </c>
      <c r="G440" s="9" t="s">
        <v>50</v>
      </c>
      <c r="H440" s="11">
        <v>3306.02</v>
      </c>
      <c r="I440" s="11">
        <v>3306.02</v>
      </c>
      <c r="J440" s="9" t="s">
        <v>97</v>
      </c>
      <c r="K440" s="9" t="s">
        <v>44</v>
      </c>
    </row>
    <row r="441" spans="1:11" x14ac:dyDescent="0.25">
      <c r="A441" s="8" t="s">
        <v>82</v>
      </c>
      <c r="B441" s="9" t="s">
        <v>83</v>
      </c>
      <c r="C441" s="9" t="s">
        <v>40</v>
      </c>
      <c r="D441" s="9" t="s">
        <v>96</v>
      </c>
      <c r="E441" s="10">
        <v>2012</v>
      </c>
      <c r="F441" s="10">
        <v>2013</v>
      </c>
      <c r="G441" s="9" t="s">
        <v>42</v>
      </c>
      <c r="H441" s="11">
        <v>4555.46</v>
      </c>
      <c r="I441" s="11">
        <v>4555.46</v>
      </c>
      <c r="J441" s="9" t="s">
        <v>97</v>
      </c>
      <c r="K441" s="9" t="s">
        <v>44</v>
      </c>
    </row>
    <row r="442" spans="1:11" x14ac:dyDescent="0.25">
      <c r="A442" s="8" t="s">
        <v>82</v>
      </c>
      <c r="B442" s="9" t="s">
        <v>83</v>
      </c>
      <c r="C442" s="9" t="s">
        <v>40</v>
      </c>
      <c r="D442" s="9" t="s">
        <v>96</v>
      </c>
      <c r="E442" s="10">
        <v>2012</v>
      </c>
      <c r="F442" s="10">
        <v>2013</v>
      </c>
      <c r="G442" s="9" t="s">
        <v>45</v>
      </c>
      <c r="H442" s="11">
        <v>134.41999999999999</v>
      </c>
      <c r="I442" s="11">
        <v>134.41999999999999</v>
      </c>
      <c r="J442" s="9" t="s">
        <v>97</v>
      </c>
      <c r="K442" s="9" t="s">
        <v>44</v>
      </c>
    </row>
    <row r="443" spans="1:11" x14ac:dyDescent="0.25">
      <c r="A443" s="8" t="s">
        <v>82</v>
      </c>
      <c r="B443" s="9" t="s">
        <v>83</v>
      </c>
      <c r="C443" s="9" t="s">
        <v>40</v>
      </c>
      <c r="D443" s="9" t="s">
        <v>96</v>
      </c>
      <c r="E443" s="10">
        <v>2012</v>
      </c>
      <c r="F443" s="10">
        <v>2013</v>
      </c>
      <c r="G443" s="9" t="s">
        <v>46</v>
      </c>
      <c r="H443" s="11">
        <v>21879.13</v>
      </c>
      <c r="I443" s="11">
        <v>21879.13</v>
      </c>
      <c r="J443" s="9" t="s">
        <v>97</v>
      </c>
      <c r="K443" s="9" t="s">
        <v>44</v>
      </c>
    </row>
    <row r="444" spans="1:11" x14ac:dyDescent="0.25">
      <c r="A444" s="8" t="s">
        <v>82</v>
      </c>
      <c r="B444" s="9" t="s">
        <v>83</v>
      </c>
      <c r="C444" s="9" t="s">
        <v>40</v>
      </c>
      <c r="D444" s="9" t="s">
        <v>96</v>
      </c>
      <c r="E444" s="10">
        <v>2012</v>
      </c>
      <c r="F444" s="10">
        <v>2013</v>
      </c>
      <c r="G444" s="9" t="s">
        <v>50</v>
      </c>
      <c r="H444" s="11">
        <v>16.079999999999998</v>
      </c>
      <c r="I444" s="11">
        <v>16.079999999999998</v>
      </c>
      <c r="J444" s="9" t="s">
        <v>97</v>
      </c>
      <c r="K444" s="9" t="s">
        <v>44</v>
      </c>
    </row>
    <row r="445" spans="1:11" x14ac:dyDescent="0.25">
      <c r="A445" s="8" t="s">
        <v>84</v>
      </c>
      <c r="B445" s="9" t="s">
        <v>85</v>
      </c>
      <c r="C445" s="9" t="s">
        <v>85</v>
      </c>
      <c r="D445" s="9" t="s">
        <v>96</v>
      </c>
      <c r="E445" s="10">
        <v>2012</v>
      </c>
      <c r="F445" s="10">
        <v>2013</v>
      </c>
      <c r="G445" s="9" t="s">
        <v>42</v>
      </c>
      <c r="H445" s="11">
        <v>173713.4</v>
      </c>
      <c r="I445" s="11">
        <v>173713.4</v>
      </c>
      <c r="J445" s="9" t="s">
        <v>97</v>
      </c>
      <c r="K445" s="9" t="s">
        <v>44</v>
      </c>
    </row>
    <row r="446" spans="1:11" x14ac:dyDescent="0.25">
      <c r="A446" s="8" t="s">
        <v>84</v>
      </c>
      <c r="B446" s="9" t="s">
        <v>85</v>
      </c>
      <c r="C446" s="9" t="s">
        <v>85</v>
      </c>
      <c r="D446" s="9" t="s">
        <v>96</v>
      </c>
      <c r="E446" s="10">
        <v>2012</v>
      </c>
      <c r="F446" s="10">
        <v>2013</v>
      </c>
      <c r="G446" s="9" t="s">
        <v>45</v>
      </c>
      <c r="H446" s="11">
        <v>196.14</v>
      </c>
      <c r="I446" s="11">
        <v>196.14</v>
      </c>
      <c r="J446" s="9" t="s">
        <v>97</v>
      </c>
      <c r="K446" s="9" t="s">
        <v>44</v>
      </c>
    </row>
    <row r="447" spans="1:11" x14ac:dyDescent="0.25">
      <c r="A447" s="8" t="s">
        <v>84</v>
      </c>
      <c r="B447" s="9" t="s">
        <v>85</v>
      </c>
      <c r="C447" s="9" t="s">
        <v>85</v>
      </c>
      <c r="D447" s="9" t="s">
        <v>96</v>
      </c>
      <c r="E447" s="10">
        <v>2012</v>
      </c>
      <c r="F447" s="10">
        <v>2013</v>
      </c>
      <c r="G447" s="9" t="s">
        <v>46</v>
      </c>
      <c r="H447" s="11">
        <v>76379.320000000007</v>
      </c>
      <c r="I447" s="11">
        <v>76379.320000000007</v>
      </c>
      <c r="J447" s="9" t="s">
        <v>97</v>
      </c>
      <c r="K447" s="9" t="s">
        <v>44</v>
      </c>
    </row>
    <row r="448" spans="1:11" x14ac:dyDescent="0.25">
      <c r="A448" s="8" t="s">
        <v>84</v>
      </c>
      <c r="B448" s="9" t="s">
        <v>85</v>
      </c>
      <c r="C448" s="9" t="s">
        <v>85</v>
      </c>
      <c r="D448" s="9" t="s">
        <v>96</v>
      </c>
      <c r="E448" s="10">
        <v>2012</v>
      </c>
      <c r="F448" s="10">
        <v>2013</v>
      </c>
      <c r="G448" s="9" t="s">
        <v>50</v>
      </c>
      <c r="H448" s="11">
        <v>4219.51</v>
      </c>
      <c r="I448" s="11">
        <v>4219.51</v>
      </c>
      <c r="J448" s="9" t="s">
        <v>97</v>
      </c>
      <c r="K448" s="9" t="s">
        <v>44</v>
      </c>
    </row>
    <row r="449" spans="1:11" x14ac:dyDescent="0.25">
      <c r="A449" s="8" t="s">
        <v>86</v>
      </c>
      <c r="B449" s="9" t="s">
        <v>87</v>
      </c>
      <c r="C449" s="9" t="s">
        <v>69</v>
      </c>
      <c r="D449" s="9" t="s">
        <v>96</v>
      </c>
      <c r="E449" s="10">
        <v>2012</v>
      </c>
      <c r="F449" s="10">
        <v>2013</v>
      </c>
      <c r="G449" s="9" t="s">
        <v>42</v>
      </c>
      <c r="H449" s="11">
        <v>140158.49</v>
      </c>
      <c r="I449" s="11">
        <v>140158.49</v>
      </c>
      <c r="J449" s="9" t="s">
        <v>97</v>
      </c>
      <c r="K449" s="9" t="s">
        <v>44</v>
      </c>
    </row>
    <row r="450" spans="1:11" x14ac:dyDescent="0.25">
      <c r="A450" s="8" t="s">
        <v>86</v>
      </c>
      <c r="B450" s="9" t="s">
        <v>87</v>
      </c>
      <c r="C450" s="9" t="s">
        <v>69</v>
      </c>
      <c r="D450" s="9" t="s">
        <v>96</v>
      </c>
      <c r="E450" s="10">
        <v>2012</v>
      </c>
      <c r="F450" s="10">
        <v>2013</v>
      </c>
      <c r="G450" s="9" t="s">
        <v>45</v>
      </c>
      <c r="H450" s="11">
        <v>25.1</v>
      </c>
      <c r="I450" s="11">
        <v>25.1</v>
      </c>
      <c r="J450" s="9" t="s">
        <v>97</v>
      </c>
      <c r="K450" s="9" t="s">
        <v>44</v>
      </c>
    </row>
    <row r="451" spans="1:11" x14ac:dyDescent="0.25">
      <c r="A451" s="8" t="s">
        <v>86</v>
      </c>
      <c r="B451" s="9" t="s">
        <v>87</v>
      </c>
      <c r="C451" s="9" t="s">
        <v>69</v>
      </c>
      <c r="D451" s="9" t="s">
        <v>96</v>
      </c>
      <c r="E451" s="10">
        <v>2012</v>
      </c>
      <c r="F451" s="10">
        <v>2013</v>
      </c>
      <c r="G451" s="9" t="s">
        <v>46</v>
      </c>
      <c r="H451" s="11">
        <v>19010.560000000001</v>
      </c>
      <c r="I451" s="11">
        <v>19010.560000000001</v>
      </c>
      <c r="J451" s="9" t="s">
        <v>97</v>
      </c>
      <c r="K451" s="9" t="s">
        <v>44</v>
      </c>
    </row>
    <row r="452" spans="1:11" x14ac:dyDescent="0.25">
      <c r="A452" s="8" t="s">
        <v>86</v>
      </c>
      <c r="B452" s="9" t="s">
        <v>87</v>
      </c>
      <c r="C452" s="9" t="s">
        <v>69</v>
      </c>
      <c r="D452" s="9" t="s">
        <v>96</v>
      </c>
      <c r="E452" s="10">
        <v>2012</v>
      </c>
      <c r="F452" s="10">
        <v>2013</v>
      </c>
      <c r="G452" s="9" t="s">
        <v>50</v>
      </c>
      <c r="H452" s="11">
        <v>6559.61</v>
      </c>
      <c r="I452" s="11">
        <v>6559.61</v>
      </c>
      <c r="J452" s="9" t="s">
        <v>97</v>
      </c>
      <c r="K452" s="9" t="s">
        <v>44</v>
      </c>
    </row>
    <row r="453" spans="1:11" x14ac:dyDescent="0.25">
      <c r="A453" s="8" t="s">
        <v>38</v>
      </c>
      <c r="B453" s="9" t="s">
        <v>39</v>
      </c>
      <c r="C453" s="9" t="s">
        <v>40</v>
      </c>
      <c r="D453" s="9" t="s">
        <v>98</v>
      </c>
      <c r="E453" s="10">
        <v>2013</v>
      </c>
      <c r="F453" s="10">
        <v>2014</v>
      </c>
      <c r="G453" s="9" t="s">
        <v>42</v>
      </c>
      <c r="H453" s="11">
        <v>13485.89</v>
      </c>
      <c r="I453" s="11">
        <v>13485.89</v>
      </c>
      <c r="J453" s="9" t="s">
        <v>89</v>
      </c>
      <c r="K453" s="9" t="s">
        <v>44</v>
      </c>
    </row>
    <row r="454" spans="1:11" x14ac:dyDescent="0.25">
      <c r="A454" s="8" t="s">
        <v>38</v>
      </c>
      <c r="B454" s="9" t="s">
        <v>39</v>
      </c>
      <c r="C454" s="9" t="s">
        <v>40</v>
      </c>
      <c r="D454" s="9" t="s">
        <v>98</v>
      </c>
      <c r="E454" s="10">
        <v>2013</v>
      </c>
      <c r="F454" s="10">
        <v>2014</v>
      </c>
      <c r="G454" s="9" t="s">
        <v>45</v>
      </c>
      <c r="H454" s="11">
        <v>15.25</v>
      </c>
      <c r="I454" s="11">
        <v>15.25</v>
      </c>
      <c r="J454" s="9" t="s">
        <v>89</v>
      </c>
      <c r="K454" s="9" t="s">
        <v>44</v>
      </c>
    </row>
    <row r="455" spans="1:11" x14ac:dyDescent="0.25">
      <c r="A455" s="8" t="s">
        <v>38</v>
      </c>
      <c r="B455" s="9" t="s">
        <v>39</v>
      </c>
      <c r="C455" s="9" t="s">
        <v>40</v>
      </c>
      <c r="D455" s="9" t="s">
        <v>98</v>
      </c>
      <c r="E455" s="10">
        <v>2013</v>
      </c>
      <c r="F455" s="10">
        <v>2014</v>
      </c>
      <c r="G455" s="9" t="s">
        <v>46</v>
      </c>
      <c r="H455" s="11">
        <v>16189.26</v>
      </c>
      <c r="I455" s="11">
        <v>16189.26</v>
      </c>
      <c r="J455" s="9" t="s">
        <v>89</v>
      </c>
      <c r="K455" s="9" t="s">
        <v>44</v>
      </c>
    </row>
    <row r="456" spans="1:11" x14ac:dyDescent="0.25">
      <c r="A456" s="8" t="s">
        <v>47</v>
      </c>
      <c r="B456" s="9" t="s">
        <v>48</v>
      </c>
      <c r="C456" s="9" t="s">
        <v>49</v>
      </c>
      <c r="D456" s="9" t="s">
        <v>98</v>
      </c>
      <c r="E456" s="10">
        <v>2013</v>
      </c>
      <c r="F456" s="10">
        <v>2014</v>
      </c>
      <c r="G456" s="9" t="s">
        <v>42</v>
      </c>
      <c r="H456" s="11">
        <v>16768.009999999998</v>
      </c>
      <c r="I456" s="11">
        <v>16768.009999999998</v>
      </c>
      <c r="J456" s="9" t="s">
        <v>89</v>
      </c>
      <c r="K456" s="9" t="s">
        <v>44</v>
      </c>
    </row>
    <row r="457" spans="1:11" x14ac:dyDescent="0.25">
      <c r="A457" s="8" t="s">
        <v>47</v>
      </c>
      <c r="B457" s="9" t="s">
        <v>48</v>
      </c>
      <c r="C457" s="9" t="s">
        <v>49</v>
      </c>
      <c r="D457" s="9" t="s">
        <v>98</v>
      </c>
      <c r="E457" s="10">
        <v>2013</v>
      </c>
      <c r="F457" s="10">
        <v>2014</v>
      </c>
      <c r="G457" s="9" t="s">
        <v>45</v>
      </c>
      <c r="H457" s="11">
        <v>410.94</v>
      </c>
      <c r="I457" s="11">
        <v>410.94</v>
      </c>
      <c r="J457" s="9" t="s">
        <v>89</v>
      </c>
      <c r="K457" s="9" t="s">
        <v>44</v>
      </c>
    </row>
    <row r="458" spans="1:11" x14ac:dyDescent="0.25">
      <c r="A458" s="8" t="s">
        <v>47</v>
      </c>
      <c r="B458" s="9" t="s">
        <v>48</v>
      </c>
      <c r="C458" s="9" t="s">
        <v>49</v>
      </c>
      <c r="D458" s="9" t="s">
        <v>98</v>
      </c>
      <c r="E458" s="10">
        <v>2013</v>
      </c>
      <c r="F458" s="10">
        <v>2014</v>
      </c>
      <c r="G458" s="9" t="s">
        <v>46</v>
      </c>
      <c r="H458" s="11">
        <v>34764.97</v>
      </c>
      <c r="I458" s="11">
        <v>34764.97</v>
      </c>
      <c r="J458" s="9" t="s">
        <v>89</v>
      </c>
      <c r="K458" s="9" t="s">
        <v>44</v>
      </c>
    </row>
    <row r="459" spans="1:11" x14ac:dyDescent="0.25">
      <c r="A459" s="8" t="s">
        <v>47</v>
      </c>
      <c r="B459" s="9" t="s">
        <v>48</v>
      </c>
      <c r="C459" s="9" t="s">
        <v>49</v>
      </c>
      <c r="D459" s="9" t="s">
        <v>98</v>
      </c>
      <c r="E459" s="10">
        <v>2013</v>
      </c>
      <c r="F459" s="10">
        <v>2014</v>
      </c>
      <c r="G459" s="9" t="s">
        <v>50</v>
      </c>
      <c r="H459" s="11">
        <v>1432.31</v>
      </c>
      <c r="I459" s="11">
        <v>1432.31</v>
      </c>
      <c r="J459" s="9" t="s">
        <v>89</v>
      </c>
      <c r="K459" s="9" t="s">
        <v>44</v>
      </c>
    </row>
    <row r="460" spans="1:11" x14ac:dyDescent="0.25">
      <c r="A460" s="8" t="s">
        <v>51</v>
      </c>
      <c r="B460" s="9" t="s">
        <v>52</v>
      </c>
      <c r="C460" s="9" t="s">
        <v>53</v>
      </c>
      <c r="D460" s="9" t="s">
        <v>98</v>
      </c>
      <c r="E460" s="10">
        <v>2013</v>
      </c>
      <c r="F460" s="10">
        <v>2014</v>
      </c>
      <c r="G460" s="9" t="s">
        <v>42</v>
      </c>
      <c r="H460" s="11">
        <v>762.69</v>
      </c>
      <c r="I460" s="11">
        <v>762.69</v>
      </c>
      <c r="J460" s="9" t="s">
        <v>89</v>
      </c>
      <c r="K460" s="9" t="s">
        <v>44</v>
      </c>
    </row>
    <row r="461" spans="1:11" x14ac:dyDescent="0.25">
      <c r="A461" s="8" t="s">
        <v>51</v>
      </c>
      <c r="B461" s="9" t="s">
        <v>52</v>
      </c>
      <c r="C461" s="9" t="s">
        <v>53</v>
      </c>
      <c r="D461" s="9" t="s">
        <v>98</v>
      </c>
      <c r="E461" s="10">
        <v>2013</v>
      </c>
      <c r="F461" s="10">
        <v>2014</v>
      </c>
      <c r="G461" s="9" t="s">
        <v>45</v>
      </c>
      <c r="H461" s="11">
        <v>1.53</v>
      </c>
      <c r="I461" s="11">
        <v>1.53</v>
      </c>
      <c r="J461" s="9" t="s">
        <v>89</v>
      </c>
      <c r="K461" s="9" t="s">
        <v>44</v>
      </c>
    </row>
    <row r="462" spans="1:11" x14ac:dyDescent="0.25">
      <c r="A462" s="8" t="s">
        <v>51</v>
      </c>
      <c r="B462" s="9" t="s">
        <v>52</v>
      </c>
      <c r="C462" s="9" t="s">
        <v>53</v>
      </c>
      <c r="D462" s="9" t="s">
        <v>98</v>
      </c>
      <c r="E462" s="10">
        <v>2013</v>
      </c>
      <c r="F462" s="10">
        <v>2014</v>
      </c>
      <c r="G462" s="9" t="s">
        <v>46</v>
      </c>
      <c r="H462" s="11">
        <v>73405.539999999994</v>
      </c>
      <c r="I462" s="11">
        <v>73405.539999999994</v>
      </c>
      <c r="J462" s="9" t="s">
        <v>89</v>
      </c>
      <c r="K462" s="9" t="s">
        <v>44</v>
      </c>
    </row>
    <row r="463" spans="1:11" x14ac:dyDescent="0.25">
      <c r="A463" s="8" t="s">
        <v>51</v>
      </c>
      <c r="B463" s="9" t="s">
        <v>52</v>
      </c>
      <c r="C463" s="9" t="s">
        <v>53</v>
      </c>
      <c r="D463" s="9" t="s">
        <v>98</v>
      </c>
      <c r="E463" s="10">
        <v>2013</v>
      </c>
      <c r="F463" s="10">
        <v>2014</v>
      </c>
      <c r="G463" s="9" t="s">
        <v>50</v>
      </c>
      <c r="H463" s="11">
        <v>7.68</v>
      </c>
      <c r="I463" s="11">
        <v>7.68</v>
      </c>
      <c r="J463" s="9" t="s">
        <v>89</v>
      </c>
      <c r="K463" s="9" t="s">
        <v>44</v>
      </c>
    </row>
    <row r="464" spans="1:11" x14ac:dyDescent="0.25">
      <c r="A464" s="8" t="s">
        <v>54</v>
      </c>
      <c r="B464" s="9" t="s">
        <v>55</v>
      </c>
      <c r="C464" s="9" t="s">
        <v>49</v>
      </c>
      <c r="D464" s="9" t="s">
        <v>98</v>
      </c>
      <c r="E464" s="10">
        <v>2013</v>
      </c>
      <c r="F464" s="10">
        <v>2014</v>
      </c>
      <c r="G464" s="9" t="s">
        <v>42</v>
      </c>
      <c r="H464" s="11">
        <v>5338.65</v>
      </c>
      <c r="I464" s="11">
        <v>5338.65</v>
      </c>
      <c r="J464" s="9" t="s">
        <v>89</v>
      </c>
      <c r="K464" s="9" t="s">
        <v>44</v>
      </c>
    </row>
    <row r="465" spans="1:11" x14ac:dyDescent="0.25">
      <c r="A465" s="8" t="s">
        <v>54</v>
      </c>
      <c r="B465" s="9" t="s">
        <v>55</v>
      </c>
      <c r="C465" s="9" t="s">
        <v>49</v>
      </c>
      <c r="D465" s="9" t="s">
        <v>98</v>
      </c>
      <c r="E465" s="10">
        <v>2013</v>
      </c>
      <c r="F465" s="10">
        <v>2014</v>
      </c>
      <c r="G465" s="9" t="s">
        <v>45</v>
      </c>
      <c r="H465" s="11">
        <v>18.78</v>
      </c>
      <c r="I465" s="11">
        <v>18.78</v>
      </c>
      <c r="J465" s="9" t="s">
        <v>89</v>
      </c>
      <c r="K465" s="9" t="s">
        <v>44</v>
      </c>
    </row>
    <row r="466" spans="1:11" x14ac:dyDescent="0.25">
      <c r="A466" s="8" t="s">
        <v>54</v>
      </c>
      <c r="B466" s="9" t="s">
        <v>55</v>
      </c>
      <c r="C466" s="9" t="s">
        <v>49</v>
      </c>
      <c r="D466" s="9" t="s">
        <v>98</v>
      </c>
      <c r="E466" s="10">
        <v>2013</v>
      </c>
      <c r="F466" s="10">
        <v>2014</v>
      </c>
      <c r="G466" s="9" t="s">
        <v>46</v>
      </c>
      <c r="H466" s="11">
        <v>32977.769999999997</v>
      </c>
      <c r="I466" s="11">
        <v>32977.769999999997</v>
      </c>
      <c r="J466" s="9" t="s">
        <v>89</v>
      </c>
      <c r="K466" s="9" t="s">
        <v>44</v>
      </c>
    </row>
    <row r="467" spans="1:11" x14ac:dyDescent="0.25">
      <c r="A467" s="8" t="s">
        <v>54</v>
      </c>
      <c r="B467" s="9" t="s">
        <v>55</v>
      </c>
      <c r="C467" s="9" t="s">
        <v>49</v>
      </c>
      <c r="D467" s="9" t="s">
        <v>98</v>
      </c>
      <c r="E467" s="10">
        <v>2013</v>
      </c>
      <c r="F467" s="10">
        <v>2014</v>
      </c>
      <c r="G467" s="9" t="s">
        <v>50</v>
      </c>
      <c r="H467" s="11">
        <v>103.86</v>
      </c>
      <c r="I467" s="11">
        <v>103.86</v>
      </c>
      <c r="J467" s="9" t="s">
        <v>89</v>
      </c>
      <c r="K467" s="9" t="s">
        <v>44</v>
      </c>
    </row>
    <row r="468" spans="1:11" x14ac:dyDescent="0.25">
      <c r="A468" s="8" t="s">
        <v>56</v>
      </c>
      <c r="B468" s="9" t="s">
        <v>57</v>
      </c>
      <c r="C468" s="9" t="s">
        <v>40</v>
      </c>
      <c r="D468" s="9" t="s">
        <v>98</v>
      </c>
      <c r="E468" s="10">
        <v>2013</v>
      </c>
      <c r="F468" s="10">
        <v>2014</v>
      </c>
      <c r="G468" s="9" t="s">
        <v>42</v>
      </c>
      <c r="H468" s="11">
        <v>12105.32</v>
      </c>
      <c r="I468" s="11">
        <v>12105.32</v>
      </c>
      <c r="J468" s="9" t="s">
        <v>89</v>
      </c>
      <c r="K468" s="9" t="s">
        <v>44</v>
      </c>
    </row>
    <row r="469" spans="1:11" x14ac:dyDescent="0.25">
      <c r="A469" s="8" t="s">
        <v>56</v>
      </c>
      <c r="B469" s="9" t="s">
        <v>57</v>
      </c>
      <c r="C469" s="9" t="s">
        <v>40</v>
      </c>
      <c r="D469" s="9" t="s">
        <v>98</v>
      </c>
      <c r="E469" s="10">
        <v>2013</v>
      </c>
      <c r="F469" s="10">
        <v>2014</v>
      </c>
      <c r="G469" s="9" t="s">
        <v>45</v>
      </c>
      <c r="H469" s="11">
        <v>13.47</v>
      </c>
      <c r="I469" s="11">
        <v>13.47</v>
      </c>
      <c r="J469" s="9" t="s">
        <v>89</v>
      </c>
      <c r="K469" s="9" t="s">
        <v>44</v>
      </c>
    </row>
    <row r="470" spans="1:11" x14ac:dyDescent="0.25">
      <c r="A470" s="8" t="s">
        <v>56</v>
      </c>
      <c r="B470" s="9" t="s">
        <v>57</v>
      </c>
      <c r="C470" s="9" t="s">
        <v>40</v>
      </c>
      <c r="D470" s="9" t="s">
        <v>98</v>
      </c>
      <c r="E470" s="10">
        <v>2013</v>
      </c>
      <c r="F470" s="10">
        <v>2014</v>
      </c>
      <c r="G470" s="9" t="s">
        <v>46</v>
      </c>
      <c r="H470" s="11">
        <v>24351.64</v>
      </c>
      <c r="I470" s="11">
        <v>24351.64</v>
      </c>
      <c r="J470" s="9" t="s">
        <v>89</v>
      </c>
      <c r="K470" s="9" t="s">
        <v>44</v>
      </c>
    </row>
    <row r="471" spans="1:11" x14ac:dyDescent="0.25">
      <c r="A471" s="8" t="s">
        <v>56</v>
      </c>
      <c r="B471" s="9" t="s">
        <v>57</v>
      </c>
      <c r="C471" s="9" t="s">
        <v>40</v>
      </c>
      <c r="D471" s="9" t="s">
        <v>98</v>
      </c>
      <c r="E471" s="10">
        <v>2013</v>
      </c>
      <c r="F471" s="10">
        <v>2014</v>
      </c>
      <c r="G471" s="9" t="s">
        <v>50</v>
      </c>
      <c r="H471" s="11">
        <v>4.46</v>
      </c>
      <c r="I471" s="11">
        <v>4.46</v>
      </c>
      <c r="J471" s="9" t="s">
        <v>89</v>
      </c>
      <c r="K471" s="9" t="s">
        <v>44</v>
      </c>
    </row>
    <row r="472" spans="1:11" x14ac:dyDescent="0.25">
      <c r="A472" s="8" t="s">
        <v>58</v>
      </c>
      <c r="B472" s="9" t="s">
        <v>59</v>
      </c>
      <c r="C472" s="9" t="s">
        <v>49</v>
      </c>
      <c r="D472" s="9" t="s">
        <v>98</v>
      </c>
      <c r="E472" s="10">
        <v>2013</v>
      </c>
      <c r="F472" s="10">
        <v>2014</v>
      </c>
      <c r="G472" s="9" t="s">
        <v>42</v>
      </c>
      <c r="H472" s="11">
        <v>20038.650000000001</v>
      </c>
      <c r="I472" s="11">
        <v>20038.650000000001</v>
      </c>
      <c r="J472" s="9" t="s">
        <v>89</v>
      </c>
      <c r="K472" s="9" t="s">
        <v>44</v>
      </c>
    </row>
    <row r="473" spans="1:11" x14ac:dyDescent="0.25">
      <c r="A473" s="8" t="s">
        <v>58</v>
      </c>
      <c r="B473" s="9" t="s">
        <v>59</v>
      </c>
      <c r="C473" s="9" t="s">
        <v>49</v>
      </c>
      <c r="D473" s="9" t="s">
        <v>98</v>
      </c>
      <c r="E473" s="10">
        <v>2013</v>
      </c>
      <c r="F473" s="10">
        <v>2014</v>
      </c>
      <c r="G473" s="9" t="s">
        <v>45</v>
      </c>
      <c r="H473" s="11">
        <v>81.14</v>
      </c>
      <c r="I473" s="11">
        <v>81.14</v>
      </c>
      <c r="J473" s="9" t="s">
        <v>89</v>
      </c>
      <c r="K473" s="9" t="s">
        <v>44</v>
      </c>
    </row>
    <row r="474" spans="1:11" x14ac:dyDescent="0.25">
      <c r="A474" s="8" t="s">
        <v>58</v>
      </c>
      <c r="B474" s="9" t="s">
        <v>59</v>
      </c>
      <c r="C474" s="9" t="s">
        <v>49</v>
      </c>
      <c r="D474" s="9" t="s">
        <v>98</v>
      </c>
      <c r="E474" s="10">
        <v>2013</v>
      </c>
      <c r="F474" s="10">
        <v>2014</v>
      </c>
      <c r="G474" s="9" t="s">
        <v>46</v>
      </c>
      <c r="H474" s="11">
        <v>50293.18</v>
      </c>
      <c r="I474" s="11">
        <v>50293.18</v>
      </c>
      <c r="J474" s="9" t="s">
        <v>89</v>
      </c>
      <c r="K474" s="9" t="s">
        <v>44</v>
      </c>
    </row>
    <row r="475" spans="1:11" x14ac:dyDescent="0.25">
      <c r="A475" s="8" t="s">
        <v>58</v>
      </c>
      <c r="B475" s="9" t="s">
        <v>59</v>
      </c>
      <c r="C475" s="9" t="s">
        <v>49</v>
      </c>
      <c r="D475" s="9" t="s">
        <v>98</v>
      </c>
      <c r="E475" s="10">
        <v>2013</v>
      </c>
      <c r="F475" s="10">
        <v>2014</v>
      </c>
      <c r="G475" s="9" t="s">
        <v>50</v>
      </c>
      <c r="H475" s="11">
        <v>185.18</v>
      </c>
      <c r="I475" s="11">
        <v>185.18</v>
      </c>
      <c r="J475" s="9" t="s">
        <v>89</v>
      </c>
      <c r="K475" s="9" t="s">
        <v>44</v>
      </c>
    </row>
    <row r="476" spans="1:11" x14ac:dyDescent="0.25">
      <c r="A476" s="8" t="s">
        <v>60</v>
      </c>
      <c r="B476" s="9" t="s">
        <v>61</v>
      </c>
      <c r="C476" s="9" t="s">
        <v>40</v>
      </c>
      <c r="D476" s="9" t="s">
        <v>98</v>
      </c>
      <c r="E476" s="10">
        <v>2013</v>
      </c>
      <c r="F476" s="10">
        <v>2014</v>
      </c>
      <c r="G476" s="9" t="s">
        <v>42</v>
      </c>
      <c r="H476" s="11">
        <v>142821.4</v>
      </c>
      <c r="I476" s="11">
        <v>142821.4</v>
      </c>
      <c r="J476" s="9" t="s">
        <v>89</v>
      </c>
      <c r="K476" s="9" t="s">
        <v>44</v>
      </c>
    </row>
    <row r="477" spans="1:11" x14ac:dyDescent="0.25">
      <c r="A477" s="8" t="s">
        <v>60</v>
      </c>
      <c r="B477" s="9" t="s">
        <v>61</v>
      </c>
      <c r="C477" s="9" t="s">
        <v>40</v>
      </c>
      <c r="D477" s="9" t="s">
        <v>98</v>
      </c>
      <c r="E477" s="10">
        <v>2013</v>
      </c>
      <c r="F477" s="10">
        <v>2014</v>
      </c>
      <c r="G477" s="9" t="s">
        <v>45</v>
      </c>
      <c r="H477" s="11">
        <v>392.53</v>
      </c>
      <c r="I477" s="11">
        <v>392.53</v>
      </c>
      <c r="J477" s="9" t="s">
        <v>89</v>
      </c>
      <c r="K477" s="9" t="s">
        <v>44</v>
      </c>
    </row>
    <row r="478" spans="1:11" x14ac:dyDescent="0.25">
      <c r="A478" s="8" t="s">
        <v>60</v>
      </c>
      <c r="B478" s="9" t="s">
        <v>61</v>
      </c>
      <c r="C478" s="9" t="s">
        <v>40</v>
      </c>
      <c r="D478" s="9" t="s">
        <v>98</v>
      </c>
      <c r="E478" s="10">
        <v>2013</v>
      </c>
      <c r="F478" s="10">
        <v>2014</v>
      </c>
      <c r="G478" s="9" t="s">
        <v>46</v>
      </c>
      <c r="H478" s="11">
        <v>50748.68</v>
      </c>
      <c r="I478" s="11">
        <v>50748.68</v>
      </c>
      <c r="J478" s="9" t="s">
        <v>89</v>
      </c>
      <c r="K478" s="9" t="s">
        <v>44</v>
      </c>
    </row>
    <row r="479" spans="1:11" x14ac:dyDescent="0.25">
      <c r="A479" s="8" t="s">
        <v>60</v>
      </c>
      <c r="B479" s="9" t="s">
        <v>61</v>
      </c>
      <c r="C479" s="9" t="s">
        <v>40</v>
      </c>
      <c r="D479" s="9" t="s">
        <v>98</v>
      </c>
      <c r="E479" s="10">
        <v>2013</v>
      </c>
      <c r="F479" s="10">
        <v>2014</v>
      </c>
      <c r="G479" s="9" t="s">
        <v>50</v>
      </c>
      <c r="H479" s="11">
        <v>1219.8800000000001</v>
      </c>
      <c r="I479" s="11">
        <v>1219.8800000000001</v>
      </c>
      <c r="J479" s="9" t="s">
        <v>89</v>
      </c>
      <c r="K479" s="9" t="s">
        <v>44</v>
      </c>
    </row>
    <row r="480" spans="1:11" x14ac:dyDescent="0.25">
      <c r="A480" s="8" t="s">
        <v>62</v>
      </c>
      <c r="B480" s="9" t="s">
        <v>63</v>
      </c>
      <c r="C480" s="9" t="s">
        <v>40</v>
      </c>
      <c r="D480" s="9" t="s">
        <v>98</v>
      </c>
      <c r="E480" s="10">
        <v>2013</v>
      </c>
      <c r="F480" s="10">
        <v>2014</v>
      </c>
      <c r="G480" s="9" t="s">
        <v>42</v>
      </c>
      <c r="H480" s="11">
        <v>92698.44</v>
      </c>
      <c r="I480" s="11">
        <v>92698.44</v>
      </c>
      <c r="J480" s="9" t="s">
        <v>89</v>
      </c>
      <c r="K480" s="9" t="s">
        <v>44</v>
      </c>
    </row>
    <row r="481" spans="1:11" x14ac:dyDescent="0.25">
      <c r="A481" s="8" t="s">
        <v>62</v>
      </c>
      <c r="B481" s="9" t="s">
        <v>63</v>
      </c>
      <c r="C481" s="9" t="s">
        <v>40</v>
      </c>
      <c r="D481" s="9" t="s">
        <v>98</v>
      </c>
      <c r="E481" s="10">
        <v>2013</v>
      </c>
      <c r="F481" s="10">
        <v>2014</v>
      </c>
      <c r="G481" s="9" t="s">
        <v>45</v>
      </c>
      <c r="H481" s="11">
        <v>218.01</v>
      </c>
      <c r="I481" s="11">
        <v>218.01</v>
      </c>
      <c r="J481" s="9" t="s">
        <v>89</v>
      </c>
      <c r="K481" s="9" t="s">
        <v>44</v>
      </c>
    </row>
    <row r="482" spans="1:11" x14ac:dyDescent="0.25">
      <c r="A482" s="8" t="s">
        <v>62</v>
      </c>
      <c r="B482" s="9" t="s">
        <v>63</v>
      </c>
      <c r="C482" s="9" t="s">
        <v>40</v>
      </c>
      <c r="D482" s="9" t="s">
        <v>98</v>
      </c>
      <c r="E482" s="10">
        <v>2013</v>
      </c>
      <c r="F482" s="10">
        <v>2014</v>
      </c>
      <c r="G482" s="9" t="s">
        <v>46</v>
      </c>
      <c r="H482" s="11">
        <v>45189.58</v>
      </c>
      <c r="I482" s="11">
        <v>45189.58</v>
      </c>
      <c r="J482" s="9" t="s">
        <v>89</v>
      </c>
      <c r="K482" s="9" t="s">
        <v>44</v>
      </c>
    </row>
    <row r="483" spans="1:11" x14ac:dyDescent="0.25">
      <c r="A483" s="8" t="s">
        <v>62</v>
      </c>
      <c r="B483" s="9" t="s">
        <v>63</v>
      </c>
      <c r="C483" s="9" t="s">
        <v>40</v>
      </c>
      <c r="D483" s="9" t="s">
        <v>98</v>
      </c>
      <c r="E483" s="10">
        <v>2013</v>
      </c>
      <c r="F483" s="10">
        <v>2014</v>
      </c>
      <c r="G483" s="9" t="s">
        <v>50</v>
      </c>
      <c r="H483" s="11">
        <v>308.89</v>
      </c>
      <c r="I483" s="11">
        <v>308.89</v>
      </c>
      <c r="J483" s="9" t="s">
        <v>89</v>
      </c>
      <c r="K483" s="9" t="s">
        <v>44</v>
      </c>
    </row>
    <row r="484" spans="1:11" x14ac:dyDescent="0.25">
      <c r="A484" s="8" t="s">
        <v>65</v>
      </c>
      <c r="B484" s="9" t="s">
        <v>66</v>
      </c>
      <c r="C484" s="9" t="s">
        <v>40</v>
      </c>
      <c r="D484" s="9" t="s">
        <v>98</v>
      </c>
      <c r="E484" s="10">
        <v>2013</v>
      </c>
      <c r="F484" s="10">
        <v>2014</v>
      </c>
      <c r="G484" s="9" t="s">
        <v>42</v>
      </c>
      <c r="H484" s="11">
        <v>1364.73</v>
      </c>
      <c r="I484" s="11">
        <v>1364.73</v>
      </c>
      <c r="J484" s="9" t="s">
        <v>89</v>
      </c>
      <c r="K484" s="9" t="s">
        <v>44</v>
      </c>
    </row>
    <row r="485" spans="1:11" x14ac:dyDescent="0.25">
      <c r="A485" s="8" t="s">
        <v>65</v>
      </c>
      <c r="B485" s="9" t="s">
        <v>66</v>
      </c>
      <c r="C485" s="9" t="s">
        <v>40</v>
      </c>
      <c r="D485" s="9" t="s">
        <v>98</v>
      </c>
      <c r="E485" s="10">
        <v>2013</v>
      </c>
      <c r="F485" s="10">
        <v>2014</v>
      </c>
      <c r="G485" s="9" t="s">
        <v>45</v>
      </c>
      <c r="H485" s="11">
        <v>1.24</v>
      </c>
      <c r="I485" s="11">
        <v>1.24</v>
      </c>
      <c r="J485" s="9" t="s">
        <v>89</v>
      </c>
      <c r="K485" s="9" t="s">
        <v>44</v>
      </c>
    </row>
    <row r="486" spans="1:11" x14ac:dyDescent="0.25">
      <c r="A486" s="8" t="s">
        <v>65</v>
      </c>
      <c r="B486" s="9" t="s">
        <v>66</v>
      </c>
      <c r="C486" s="9" t="s">
        <v>40</v>
      </c>
      <c r="D486" s="9" t="s">
        <v>98</v>
      </c>
      <c r="E486" s="10">
        <v>2013</v>
      </c>
      <c r="F486" s="10">
        <v>2014</v>
      </c>
      <c r="G486" s="9" t="s">
        <v>46</v>
      </c>
      <c r="H486" s="11">
        <v>7972.64</v>
      </c>
      <c r="I486" s="11">
        <v>7972.64</v>
      </c>
      <c r="J486" s="9" t="s">
        <v>89</v>
      </c>
      <c r="K486" s="9" t="s">
        <v>44</v>
      </c>
    </row>
    <row r="487" spans="1:11" x14ac:dyDescent="0.25">
      <c r="A487" s="8" t="s">
        <v>67</v>
      </c>
      <c r="B487" s="9" t="s">
        <v>68</v>
      </c>
      <c r="C487" s="9" t="s">
        <v>69</v>
      </c>
      <c r="D487" s="9" t="s">
        <v>98</v>
      </c>
      <c r="E487" s="10">
        <v>2013</v>
      </c>
      <c r="F487" s="10">
        <v>2014</v>
      </c>
      <c r="G487" s="9" t="s">
        <v>42</v>
      </c>
      <c r="H487" s="11">
        <v>100663.45</v>
      </c>
      <c r="I487" s="11">
        <v>100663.45</v>
      </c>
      <c r="J487" s="9" t="s">
        <v>89</v>
      </c>
      <c r="K487" s="9" t="s">
        <v>44</v>
      </c>
    </row>
    <row r="488" spans="1:11" x14ac:dyDescent="0.25">
      <c r="A488" s="8" t="s">
        <v>67</v>
      </c>
      <c r="B488" s="9" t="s">
        <v>68</v>
      </c>
      <c r="C488" s="9" t="s">
        <v>69</v>
      </c>
      <c r="D488" s="9" t="s">
        <v>98</v>
      </c>
      <c r="E488" s="10">
        <v>2013</v>
      </c>
      <c r="F488" s="10">
        <v>2014</v>
      </c>
      <c r="G488" s="9" t="s">
        <v>45</v>
      </c>
      <c r="H488" s="11">
        <v>114.27</v>
      </c>
      <c r="I488" s="11">
        <v>114.27</v>
      </c>
      <c r="J488" s="9" t="s">
        <v>89</v>
      </c>
      <c r="K488" s="9" t="s">
        <v>44</v>
      </c>
    </row>
    <row r="489" spans="1:11" x14ac:dyDescent="0.25">
      <c r="A489" s="8" t="s">
        <v>67</v>
      </c>
      <c r="B489" s="9" t="s">
        <v>68</v>
      </c>
      <c r="C489" s="9" t="s">
        <v>69</v>
      </c>
      <c r="D489" s="9" t="s">
        <v>98</v>
      </c>
      <c r="E489" s="10">
        <v>2013</v>
      </c>
      <c r="F489" s="10">
        <v>2014</v>
      </c>
      <c r="G489" s="9" t="s">
        <v>46</v>
      </c>
      <c r="H489" s="11">
        <v>23816.31</v>
      </c>
      <c r="I489" s="11">
        <v>23816.31</v>
      </c>
      <c r="J489" s="9" t="s">
        <v>89</v>
      </c>
      <c r="K489" s="9" t="s">
        <v>44</v>
      </c>
    </row>
    <row r="490" spans="1:11" x14ac:dyDescent="0.25">
      <c r="A490" s="8" t="s">
        <v>67</v>
      </c>
      <c r="B490" s="9" t="s">
        <v>68</v>
      </c>
      <c r="C490" s="9" t="s">
        <v>69</v>
      </c>
      <c r="D490" s="9" t="s">
        <v>98</v>
      </c>
      <c r="E490" s="10">
        <v>2013</v>
      </c>
      <c r="F490" s="10">
        <v>2014</v>
      </c>
      <c r="G490" s="9" t="s">
        <v>50</v>
      </c>
      <c r="H490" s="11">
        <v>555.99</v>
      </c>
      <c r="I490" s="11">
        <v>555.99</v>
      </c>
      <c r="J490" s="9" t="s">
        <v>89</v>
      </c>
      <c r="K490" s="9" t="s">
        <v>44</v>
      </c>
    </row>
    <row r="491" spans="1:11" x14ac:dyDescent="0.25">
      <c r="A491" s="8" t="s">
        <v>70</v>
      </c>
      <c r="B491" s="9" t="s">
        <v>71</v>
      </c>
      <c r="C491" s="9" t="s">
        <v>49</v>
      </c>
      <c r="D491" s="9" t="s">
        <v>98</v>
      </c>
      <c r="E491" s="10">
        <v>2013</v>
      </c>
      <c r="F491" s="10">
        <v>2014</v>
      </c>
      <c r="G491" s="9" t="s">
        <v>42</v>
      </c>
      <c r="H491" s="11">
        <v>64140.13</v>
      </c>
      <c r="I491" s="11">
        <v>64140.13</v>
      </c>
      <c r="J491" s="9" t="s">
        <v>89</v>
      </c>
      <c r="K491" s="9" t="s">
        <v>44</v>
      </c>
    </row>
    <row r="492" spans="1:11" x14ac:dyDescent="0.25">
      <c r="A492" s="8" t="s">
        <v>70</v>
      </c>
      <c r="B492" s="9" t="s">
        <v>71</v>
      </c>
      <c r="C492" s="9" t="s">
        <v>49</v>
      </c>
      <c r="D492" s="9" t="s">
        <v>98</v>
      </c>
      <c r="E492" s="10">
        <v>2013</v>
      </c>
      <c r="F492" s="10">
        <v>2014</v>
      </c>
      <c r="G492" s="9" t="s">
        <v>45</v>
      </c>
      <c r="H492" s="11">
        <v>116.46</v>
      </c>
      <c r="I492" s="11">
        <v>116.46</v>
      </c>
      <c r="J492" s="9" t="s">
        <v>89</v>
      </c>
      <c r="K492" s="9" t="s">
        <v>44</v>
      </c>
    </row>
    <row r="493" spans="1:11" x14ac:dyDescent="0.25">
      <c r="A493" s="8" t="s">
        <v>70</v>
      </c>
      <c r="B493" s="9" t="s">
        <v>71</v>
      </c>
      <c r="C493" s="9" t="s">
        <v>49</v>
      </c>
      <c r="D493" s="9" t="s">
        <v>98</v>
      </c>
      <c r="E493" s="10">
        <v>2013</v>
      </c>
      <c r="F493" s="10">
        <v>2014</v>
      </c>
      <c r="G493" s="9" t="s">
        <v>46</v>
      </c>
      <c r="H493" s="11">
        <v>37467.08</v>
      </c>
      <c r="I493" s="11">
        <v>37467.08</v>
      </c>
      <c r="J493" s="9" t="s">
        <v>89</v>
      </c>
      <c r="K493" s="9" t="s">
        <v>44</v>
      </c>
    </row>
    <row r="494" spans="1:11" x14ac:dyDescent="0.25">
      <c r="A494" s="8" t="s">
        <v>70</v>
      </c>
      <c r="B494" s="9" t="s">
        <v>71</v>
      </c>
      <c r="C494" s="9" t="s">
        <v>49</v>
      </c>
      <c r="D494" s="9" t="s">
        <v>98</v>
      </c>
      <c r="E494" s="10">
        <v>2013</v>
      </c>
      <c r="F494" s="10">
        <v>2014</v>
      </c>
      <c r="G494" s="9" t="s">
        <v>50</v>
      </c>
      <c r="H494" s="11">
        <v>4335.2</v>
      </c>
      <c r="I494" s="11">
        <v>4335.2</v>
      </c>
      <c r="J494" s="9" t="s">
        <v>89</v>
      </c>
      <c r="K494" s="9" t="s">
        <v>44</v>
      </c>
    </row>
    <row r="495" spans="1:11" x14ac:dyDescent="0.25">
      <c r="A495" s="8" t="s">
        <v>72</v>
      </c>
      <c r="B495" s="9" t="s">
        <v>73</v>
      </c>
      <c r="C495" s="9" t="s">
        <v>53</v>
      </c>
      <c r="D495" s="9" t="s">
        <v>98</v>
      </c>
      <c r="E495" s="10">
        <v>2013</v>
      </c>
      <c r="F495" s="10">
        <v>2014</v>
      </c>
      <c r="G495" s="9" t="s">
        <v>42</v>
      </c>
      <c r="H495" s="11">
        <v>14801.14</v>
      </c>
      <c r="I495" s="11">
        <v>14801.14</v>
      </c>
      <c r="J495" s="9" t="s">
        <v>89</v>
      </c>
      <c r="K495" s="9" t="s">
        <v>44</v>
      </c>
    </row>
    <row r="496" spans="1:11" x14ac:dyDescent="0.25">
      <c r="A496" s="8" t="s">
        <v>72</v>
      </c>
      <c r="B496" s="9" t="s">
        <v>73</v>
      </c>
      <c r="C496" s="9" t="s">
        <v>53</v>
      </c>
      <c r="D496" s="9" t="s">
        <v>98</v>
      </c>
      <c r="E496" s="10">
        <v>2013</v>
      </c>
      <c r="F496" s="10">
        <v>2014</v>
      </c>
      <c r="G496" s="9" t="s">
        <v>45</v>
      </c>
      <c r="H496" s="11">
        <v>118.71</v>
      </c>
      <c r="I496" s="11">
        <v>118.71</v>
      </c>
      <c r="J496" s="9" t="s">
        <v>89</v>
      </c>
      <c r="K496" s="9" t="s">
        <v>44</v>
      </c>
    </row>
    <row r="497" spans="1:11" x14ac:dyDescent="0.25">
      <c r="A497" s="8" t="s">
        <v>72</v>
      </c>
      <c r="B497" s="9" t="s">
        <v>73</v>
      </c>
      <c r="C497" s="9" t="s">
        <v>53</v>
      </c>
      <c r="D497" s="9" t="s">
        <v>98</v>
      </c>
      <c r="E497" s="10">
        <v>2013</v>
      </c>
      <c r="F497" s="10">
        <v>2014</v>
      </c>
      <c r="G497" s="9" t="s">
        <v>46</v>
      </c>
      <c r="H497" s="11">
        <v>110230.92</v>
      </c>
      <c r="I497" s="11">
        <v>110230.92</v>
      </c>
      <c r="J497" s="9" t="s">
        <v>89</v>
      </c>
      <c r="K497" s="9" t="s">
        <v>44</v>
      </c>
    </row>
    <row r="498" spans="1:11" x14ac:dyDescent="0.25">
      <c r="A498" s="8" t="s">
        <v>72</v>
      </c>
      <c r="B498" s="9" t="s">
        <v>73</v>
      </c>
      <c r="C498" s="9" t="s">
        <v>53</v>
      </c>
      <c r="D498" s="9" t="s">
        <v>98</v>
      </c>
      <c r="E498" s="10">
        <v>2013</v>
      </c>
      <c r="F498" s="10">
        <v>2014</v>
      </c>
      <c r="G498" s="9" t="s">
        <v>50</v>
      </c>
      <c r="H498" s="11">
        <v>108.83</v>
      </c>
      <c r="I498" s="11">
        <v>108.83</v>
      </c>
      <c r="J498" s="9" t="s">
        <v>89</v>
      </c>
      <c r="K498" s="9" t="s">
        <v>44</v>
      </c>
    </row>
    <row r="499" spans="1:11" x14ac:dyDescent="0.25">
      <c r="A499" s="8" t="s">
        <v>74</v>
      </c>
      <c r="B499" s="9" t="s">
        <v>75</v>
      </c>
      <c r="C499" s="9" t="s">
        <v>40</v>
      </c>
      <c r="D499" s="9" t="s">
        <v>98</v>
      </c>
      <c r="E499" s="10">
        <v>2013</v>
      </c>
      <c r="F499" s="10">
        <v>2014</v>
      </c>
      <c r="G499" s="9" t="s">
        <v>42</v>
      </c>
      <c r="H499" s="11">
        <v>14256.93</v>
      </c>
      <c r="I499" s="11">
        <v>14256.93</v>
      </c>
      <c r="J499" s="9" t="s">
        <v>89</v>
      </c>
      <c r="K499" s="9" t="s">
        <v>44</v>
      </c>
    </row>
    <row r="500" spans="1:11" x14ac:dyDescent="0.25">
      <c r="A500" s="8" t="s">
        <v>74</v>
      </c>
      <c r="B500" s="9" t="s">
        <v>75</v>
      </c>
      <c r="C500" s="9" t="s">
        <v>40</v>
      </c>
      <c r="D500" s="9" t="s">
        <v>98</v>
      </c>
      <c r="E500" s="10">
        <v>2013</v>
      </c>
      <c r="F500" s="10">
        <v>2014</v>
      </c>
      <c r="G500" s="9" t="s">
        <v>45</v>
      </c>
      <c r="H500" s="11">
        <v>17.66</v>
      </c>
      <c r="I500" s="11">
        <v>17.66</v>
      </c>
      <c r="J500" s="9" t="s">
        <v>89</v>
      </c>
      <c r="K500" s="9" t="s">
        <v>44</v>
      </c>
    </row>
    <row r="501" spans="1:11" x14ac:dyDescent="0.25">
      <c r="A501" s="8" t="s">
        <v>74</v>
      </c>
      <c r="B501" s="9" t="s">
        <v>75</v>
      </c>
      <c r="C501" s="9" t="s">
        <v>40</v>
      </c>
      <c r="D501" s="9" t="s">
        <v>98</v>
      </c>
      <c r="E501" s="10">
        <v>2013</v>
      </c>
      <c r="F501" s="10">
        <v>2014</v>
      </c>
      <c r="G501" s="9" t="s">
        <v>46</v>
      </c>
      <c r="H501" s="11">
        <v>29074.49</v>
      </c>
      <c r="I501" s="11">
        <v>29074.49</v>
      </c>
      <c r="J501" s="9" t="s">
        <v>89</v>
      </c>
      <c r="K501" s="9" t="s">
        <v>44</v>
      </c>
    </row>
    <row r="502" spans="1:11" x14ac:dyDescent="0.25">
      <c r="A502" s="8" t="s">
        <v>74</v>
      </c>
      <c r="B502" s="9" t="s">
        <v>75</v>
      </c>
      <c r="C502" s="9" t="s">
        <v>40</v>
      </c>
      <c r="D502" s="9" t="s">
        <v>98</v>
      </c>
      <c r="E502" s="10">
        <v>2013</v>
      </c>
      <c r="F502" s="10">
        <v>2014</v>
      </c>
      <c r="G502" s="9" t="s">
        <v>50</v>
      </c>
      <c r="H502" s="11">
        <v>31.78</v>
      </c>
      <c r="I502" s="11">
        <v>31.78</v>
      </c>
      <c r="J502" s="9" t="s">
        <v>89</v>
      </c>
      <c r="K502" s="9" t="s">
        <v>44</v>
      </c>
    </row>
    <row r="503" spans="1:11" x14ac:dyDescent="0.25">
      <c r="A503" s="8" t="s">
        <v>76</v>
      </c>
      <c r="B503" s="9" t="s">
        <v>77</v>
      </c>
      <c r="C503" s="9" t="s">
        <v>53</v>
      </c>
      <c r="D503" s="9" t="s">
        <v>98</v>
      </c>
      <c r="E503" s="10">
        <v>2013</v>
      </c>
      <c r="F503" s="10">
        <v>2014</v>
      </c>
      <c r="G503" s="9" t="s">
        <v>42</v>
      </c>
      <c r="H503" s="11">
        <v>68.22</v>
      </c>
      <c r="I503" s="11">
        <v>68.22</v>
      </c>
      <c r="J503" s="9" t="s">
        <v>89</v>
      </c>
      <c r="K503" s="9" t="s">
        <v>44</v>
      </c>
    </row>
    <row r="504" spans="1:11" x14ac:dyDescent="0.25">
      <c r="A504" s="8" t="s">
        <v>76</v>
      </c>
      <c r="B504" s="9" t="s">
        <v>77</v>
      </c>
      <c r="C504" s="9" t="s">
        <v>53</v>
      </c>
      <c r="D504" s="9" t="s">
        <v>98</v>
      </c>
      <c r="E504" s="10">
        <v>2013</v>
      </c>
      <c r="F504" s="10">
        <v>2014</v>
      </c>
      <c r="G504" s="9" t="s">
        <v>46</v>
      </c>
      <c r="H504" s="11">
        <v>25058.17</v>
      </c>
      <c r="I504" s="11">
        <v>25058.17</v>
      </c>
      <c r="J504" s="9" t="s">
        <v>89</v>
      </c>
      <c r="K504" s="9" t="s">
        <v>44</v>
      </c>
    </row>
    <row r="505" spans="1:11" x14ac:dyDescent="0.25">
      <c r="A505" s="8" t="s">
        <v>78</v>
      </c>
      <c r="B505" s="9" t="s">
        <v>79</v>
      </c>
      <c r="C505" s="9" t="s">
        <v>53</v>
      </c>
      <c r="D505" s="9" t="s">
        <v>98</v>
      </c>
      <c r="E505" s="10">
        <v>2013</v>
      </c>
      <c r="F505" s="10">
        <v>2014</v>
      </c>
      <c r="G505" s="9" t="s">
        <v>42</v>
      </c>
      <c r="H505" s="11">
        <v>1367.17</v>
      </c>
      <c r="I505" s="11">
        <v>1367.17</v>
      </c>
      <c r="J505" s="9" t="s">
        <v>89</v>
      </c>
      <c r="K505" s="9" t="s">
        <v>44</v>
      </c>
    </row>
    <row r="506" spans="1:11" x14ac:dyDescent="0.25">
      <c r="A506" s="8" t="s">
        <v>78</v>
      </c>
      <c r="B506" s="9" t="s">
        <v>79</v>
      </c>
      <c r="C506" s="9" t="s">
        <v>53</v>
      </c>
      <c r="D506" s="9" t="s">
        <v>98</v>
      </c>
      <c r="E506" s="10">
        <v>2013</v>
      </c>
      <c r="F506" s="10">
        <v>2014</v>
      </c>
      <c r="G506" s="9" t="s">
        <v>45</v>
      </c>
      <c r="H506" s="11">
        <v>8.31</v>
      </c>
      <c r="I506" s="11">
        <v>8.31</v>
      </c>
      <c r="J506" s="9" t="s">
        <v>89</v>
      </c>
      <c r="K506" s="9" t="s">
        <v>44</v>
      </c>
    </row>
    <row r="507" spans="1:11" x14ac:dyDescent="0.25">
      <c r="A507" s="8" t="s">
        <v>78</v>
      </c>
      <c r="B507" s="9" t="s">
        <v>79</v>
      </c>
      <c r="C507" s="9" t="s">
        <v>53</v>
      </c>
      <c r="D507" s="9" t="s">
        <v>98</v>
      </c>
      <c r="E507" s="10">
        <v>2013</v>
      </c>
      <c r="F507" s="10">
        <v>2014</v>
      </c>
      <c r="G507" s="9" t="s">
        <v>46</v>
      </c>
      <c r="H507" s="11">
        <v>55184.24</v>
      </c>
      <c r="I507" s="11">
        <v>55184.24</v>
      </c>
      <c r="J507" s="9" t="s">
        <v>89</v>
      </c>
      <c r="K507" s="9" t="s">
        <v>44</v>
      </c>
    </row>
    <row r="508" spans="1:11" x14ac:dyDescent="0.25">
      <c r="A508" s="8" t="s">
        <v>78</v>
      </c>
      <c r="B508" s="9" t="s">
        <v>79</v>
      </c>
      <c r="C508" s="9" t="s">
        <v>53</v>
      </c>
      <c r="D508" s="9" t="s">
        <v>98</v>
      </c>
      <c r="E508" s="10">
        <v>2013</v>
      </c>
      <c r="F508" s="10">
        <v>2014</v>
      </c>
      <c r="G508" s="9" t="s">
        <v>50</v>
      </c>
      <c r="H508" s="11">
        <v>31.88</v>
      </c>
      <c r="I508" s="11">
        <v>31.88</v>
      </c>
      <c r="J508" s="9" t="s">
        <v>89</v>
      </c>
      <c r="K508" s="9" t="s">
        <v>44</v>
      </c>
    </row>
    <row r="509" spans="1:11" x14ac:dyDescent="0.25">
      <c r="A509" s="8" t="s">
        <v>80</v>
      </c>
      <c r="B509" s="9" t="s">
        <v>81</v>
      </c>
      <c r="C509" s="9" t="s">
        <v>49</v>
      </c>
      <c r="D509" s="9" t="s">
        <v>98</v>
      </c>
      <c r="E509" s="10">
        <v>2013</v>
      </c>
      <c r="F509" s="10">
        <v>2014</v>
      </c>
      <c r="G509" s="9" t="s">
        <v>42</v>
      </c>
      <c r="H509" s="11">
        <v>64372.97</v>
      </c>
      <c r="I509" s="11">
        <v>64372.97</v>
      </c>
      <c r="J509" s="9" t="s">
        <v>89</v>
      </c>
      <c r="K509" s="9" t="s">
        <v>44</v>
      </c>
    </row>
    <row r="510" spans="1:11" x14ac:dyDescent="0.25">
      <c r="A510" s="8" t="s">
        <v>80</v>
      </c>
      <c r="B510" s="9" t="s">
        <v>81</v>
      </c>
      <c r="C510" s="9" t="s">
        <v>49</v>
      </c>
      <c r="D510" s="9" t="s">
        <v>98</v>
      </c>
      <c r="E510" s="10">
        <v>2013</v>
      </c>
      <c r="F510" s="10">
        <v>2014</v>
      </c>
      <c r="G510" s="9" t="s">
        <v>45</v>
      </c>
      <c r="H510" s="11">
        <v>1142.4100000000001</v>
      </c>
      <c r="I510" s="11">
        <v>1142.4100000000001</v>
      </c>
      <c r="J510" s="9" t="s">
        <v>89</v>
      </c>
      <c r="K510" s="9" t="s">
        <v>44</v>
      </c>
    </row>
    <row r="511" spans="1:11" x14ac:dyDescent="0.25">
      <c r="A511" s="8" t="s">
        <v>80</v>
      </c>
      <c r="B511" s="9" t="s">
        <v>81</v>
      </c>
      <c r="C511" s="9" t="s">
        <v>49</v>
      </c>
      <c r="D511" s="9" t="s">
        <v>98</v>
      </c>
      <c r="E511" s="10">
        <v>2013</v>
      </c>
      <c r="F511" s="10">
        <v>2014</v>
      </c>
      <c r="G511" s="9" t="s">
        <v>46</v>
      </c>
      <c r="H511" s="11">
        <v>221809.16</v>
      </c>
      <c r="I511" s="11">
        <v>221809.16</v>
      </c>
      <c r="J511" s="9" t="s">
        <v>89</v>
      </c>
      <c r="K511" s="9" t="s">
        <v>44</v>
      </c>
    </row>
    <row r="512" spans="1:11" x14ac:dyDescent="0.25">
      <c r="A512" s="8" t="s">
        <v>80</v>
      </c>
      <c r="B512" s="9" t="s">
        <v>81</v>
      </c>
      <c r="C512" s="9" t="s">
        <v>49</v>
      </c>
      <c r="D512" s="9" t="s">
        <v>98</v>
      </c>
      <c r="E512" s="10">
        <v>2013</v>
      </c>
      <c r="F512" s="10">
        <v>2014</v>
      </c>
      <c r="G512" s="9" t="s">
        <v>50</v>
      </c>
      <c r="H512" s="11">
        <v>1923.01</v>
      </c>
      <c r="I512" s="11">
        <v>1923.01</v>
      </c>
      <c r="J512" s="9" t="s">
        <v>89</v>
      </c>
      <c r="K512" s="9" t="s">
        <v>44</v>
      </c>
    </row>
    <row r="513" spans="1:11" x14ac:dyDescent="0.25">
      <c r="A513" s="8" t="s">
        <v>82</v>
      </c>
      <c r="B513" s="9" t="s">
        <v>83</v>
      </c>
      <c r="C513" s="9" t="s">
        <v>40</v>
      </c>
      <c r="D513" s="9" t="s">
        <v>98</v>
      </c>
      <c r="E513" s="10">
        <v>2013</v>
      </c>
      <c r="F513" s="10">
        <v>2014</v>
      </c>
      <c r="G513" s="9" t="s">
        <v>42</v>
      </c>
      <c r="H513" s="11">
        <v>4496.43</v>
      </c>
      <c r="I513" s="11">
        <v>4496.43</v>
      </c>
      <c r="J513" s="9" t="s">
        <v>89</v>
      </c>
      <c r="K513" s="9" t="s">
        <v>44</v>
      </c>
    </row>
    <row r="514" spans="1:11" x14ac:dyDescent="0.25">
      <c r="A514" s="8" t="s">
        <v>82</v>
      </c>
      <c r="B514" s="9" t="s">
        <v>83</v>
      </c>
      <c r="C514" s="9" t="s">
        <v>40</v>
      </c>
      <c r="D514" s="9" t="s">
        <v>98</v>
      </c>
      <c r="E514" s="10">
        <v>2013</v>
      </c>
      <c r="F514" s="10">
        <v>2014</v>
      </c>
      <c r="G514" s="9" t="s">
        <v>45</v>
      </c>
      <c r="H514" s="11">
        <v>59.22</v>
      </c>
      <c r="I514" s="11">
        <v>59.22</v>
      </c>
      <c r="J514" s="9" t="s">
        <v>89</v>
      </c>
      <c r="K514" s="9" t="s">
        <v>44</v>
      </c>
    </row>
    <row r="515" spans="1:11" x14ac:dyDescent="0.25">
      <c r="A515" s="8" t="s">
        <v>82</v>
      </c>
      <c r="B515" s="9" t="s">
        <v>83</v>
      </c>
      <c r="C515" s="9" t="s">
        <v>40</v>
      </c>
      <c r="D515" s="9" t="s">
        <v>98</v>
      </c>
      <c r="E515" s="10">
        <v>2013</v>
      </c>
      <c r="F515" s="10">
        <v>2014</v>
      </c>
      <c r="G515" s="9" t="s">
        <v>46</v>
      </c>
      <c r="H515" s="11">
        <v>22032.99</v>
      </c>
      <c r="I515" s="11">
        <v>22032.99</v>
      </c>
      <c r="J515" s="9" t="s">
        <v>89</v>
      </c>
      <c r="K515" s="9" t="s">
        <v>44</v>
      </c>
    </row>
    <row r="516" spans="1:11" x14ac:dyDescent="0.25">
      <c r="A516" s="8" t="s">
        <v>82</v>
      </c>
      <c r="B516" s="9" t="s">
        <v>83</v>
      </c>
      <c r="C516" s="9" t="s">
        <v>40</v>
      </c>
      <c r="D516" s="9" t="s">
        <v>98</v>
      </c>
      <c r="E516" s="10">
        <v>2013</v>
      </c>
      <c r="F516" s="10">
        <v>2014</v>
      </c>
      <c r="G516" s="9" t="s">
        <v>50</v>
      </c>
      <c r="H516" s="11">
        <v>2.67</v>
      </c>
      <c r="I516" s="11">
        <v>2.67</v>
      </c>
      <c r="J516" s="9" t="s">
        <v>89</v>
      </c>
      <c r="K516" s="9" t="s">
        <v>44</v>
      </c>
    </row>
    <row r="517" spans="1:11" x14ac:dyDescent="0.25">
      <c r="A517" s="8" t="s">
        <v>84</v>
      </c>
      <c r="B517" s="9" t="s">
        <v>85</v>
      </c>
      <c r="C517" s="9" t="s">
        <v>85</v>
      </c>
      <c r="D517" s="9" t="s">
        <v>98</v>
      </c>
      <c r="E517" s="10">
        <v>2013</v>
      </c>
      <c r="F517" s="10">
        <v>2014</v>
      </c>
      <c r="G517" s="9" t="s">
        <v>42</v>
      </c>
      <c r="H517" s="11">
        <v>174774.04</v>
      </c>
      <c r="I517" s="11">
        <v>174774.04</v>
      </c>
      <c r="J517" s="9" t="s">
        <v>89</v>
      </c>
      <c r="K517" s="9" t="s">
        <v>44</v>
      </c>
    </row>
    <row r="518" spans="1:11" x14ac:dyDescent="0.25">
      <c r="A518" s="8" t="s">
        <v>84</v>
      </c>
      <c r="B518" s="9" t="s">
        <v>85</v>
      </c>
      <c r="C518" s="9" t="s">
        <v>85</v>
      </c>
      <c r="D518" s="9" t="s">
        <v>98</v>
      </c>
      <c r="E518" s="10">
        <v>2013</v>
      </c>
      <c r="F518" s="10">
        <v>2014</v>
      </c>
      <c r="G518" s="9" t="s">
        <v>45</v>
      </c>
      <c r="H518" s="11">
        <v>771.55</v>
      </c>
      <c r="I518" s="11">
        <v>771.55</v>
      </c>
      <c r="J518" s="9" t="s">
        <v>89</v>
      </c>
      <c r="K518" s="9" t="s">
        <v>44</v>
      </c>
    </row>
    <row r="519" spans="1:11" x14ac:dyDescent="0.25">
      <c r="A519" s="8" t="s">
        <v>84</v>
      </c>
      <c r="B519" s="9" t="s">
        <v>85</v>
      </c>
      <c r="C519" s="9" t="s">
        <v>85</v>
      </c>
      <c r="D519" s="9" t="s">
        <v>98</v>
      </c>
      <c r="E519" s="10">
        <v>2013</v>
      </c>
      <c r="F519" s="10">
        <v>2014</v>
      </c>
      <c r="G519" s="9" t="s">
        <v>46</v>
      </c>
      <c r="H519" s="11">
        <v>76759.850000000006</v>
      </c>
      <c r="I519" s="11">
        <v>76759.850000000006</v>
      </c>
      <c r="J519" s="9" t="s">
        <v>89</v>
      </c>
      <c r="K519" s="9" t="s">
        <v>44</v>
      </c>
    </row>
    <row r="520" spans="1:11" x14ac:dyDescent="0.25">
      <c r="A520" s="8" t="s">
        <v>84</v>
      </c>
      <c r="B520" s="9" t="s">
        <v>85</v>
      </c>
      <c r="C520" s="9" t="s">
        <v>85</v>
      </c>
      <c r="D520" s="9" t="s">
        <v>98</v>
      </c>
      <c r="E520" s="10">
        <v>2013</v>
      </c>
      <c r="F520" s="10">
        <v>2014</v>
      </c>
      <c r="G520" s="9" t="s">
        <v>50</v>
      </c>
      <c r="H520" s="11">
        <v>2273.12</v>
      </c>
      <c r="I520" s="11">
        <v>2273.12</v>
      </c>
      <c r="J520" s="9" t="s">
        <v>89</v>
      </c>
      <c r="K520" s="9" t="s">
        <v>44</v>
      </c>
    </row>
    <row r="521" spans="1:11" x14ac:dyDescent="0.25">
      <c r="A521" s="8" t="s">
        <v>86</v>
      </c>
      <c r="B521" s="9" t="s">
        <v>87</v>
      </c>
      <c r="C521" s="9" t="s">
        <v>69</v>
      </c>
      <c r="D521" s="9" t="s">
        <v>98</v>
      </c>
      <c r="E521" s="10">
        <v>2013</v>
      </c>
      <c r="F521" s="10">
        <v>2014</v>
      </c>
      <c r="G521" s="9" t="s">
        <v>42</v>
      </c>
      <c r="H521" s="11">
        <v>144386.94</v>
      </c>
      <c r="I521" s="11">
        <v>144386.94</v>
      </c>
      <c r="J521" s="9" t="s">
        <v>89</v>
      </c>
      <c r="K521" s="9" t="s">
        <v>44</v>
      </c>
    </row>
    <row r="522" spans="1:11" x14ac:dyDescent="0.25">
      <c r="A522" s="8" t="s">
        <v>86</v>
      </c>
      <c r="B522" s="9" t="s">
        <v>87</v>
      </c>
      <c r="C522" s="9" t="s">
        <v>69</v>
      </c>
      <c r="D522" s="9" t="s">
        <v>98</v>
      </c>
      <c r="E522" s="10">
        <v>2013</v>
      </c>
      <c r="F522" s="10">
        <v>2014</v>
      </c>
      <c r="G522" s="9" t="s">
        <v>45</v>
      </c>
      <c r="H522" s="11">
        <v>75.510000000000005</v>
      </c>
      <c r="I522" s="11">
        <v>75.510000000000005</v>
      </c>
      <c r="J522" s="9" t="s">
        <v>89</v>
      </c>
      <c r="K522" s="9" t="s">
        <v>44</v>
      </c>
    </row>
    <row r="523" spans="1:11" x14ac:dyDescent="0.25">
      <c r="A523" s="8" t="s">
        <v>86</v>
      </c>
      <c r="B523" s="9" t="s">
        <v>87</v>
      </c>
      <c r="C523" s="9" t="s">
        <v>69</v>
      </c>
      <c r="D523" s="9" t="s">
        <v>98</v>
      </c>
      <c r="E523" s="10">
        <v>2013</v>
      </c>
      <c r="F523" s="10">
        <v>2014</v>
      </c>
      <c r="G523" s="9" t="s">
        <v>46</v>
      </c>
      <c r="H523" s="11">
        <v>21086</v>
      </c>
      <c r="I523" s="11">
        <v>21086</v>
      </c>
      <c r="J523" s="9" t="s">
        <v>89</v>
      </c>
      <c r="K523" s="9" t="s">
        <v>44</v>
      </c>
    </row>
    <row r="524" spans="1:11" x14ac:dyDescent="0.25">
      <c r="A524" s="8" t="s">
        <v>86</v>
      </c>
      <c r="B524" s="9" t="s">
        <v>87</v>
      </c>
      <c r="C524" s="9" t="s">
        <v>69</v>
      </c>
      <c r="D524" s="9" t="s">
        <v>98</v>
      </c>
      <c r="E524" s="10">
        <v>2013</v>
      </c>
      <c r="F524" s="10">
        <v>2014</v>
      </c>
      <c r="G524" s="9" t="s">
        <v>50</v>
      </c>
      <c r="H524" s="11">
        <v>232.56</v>
      </c>
      <c r="I524" s="11">
        <v>232.56</v>
      </c>
      <c r="J524" s="9" t="s">
        <v>89</v>
      </c>
      <c r="K524" s="9" t="s">
        <v>44</v>
      </c>
    </row>
    <row r="525" spans="1:11" x14ac:dyDescent="0.25">
      <c r="A525" s="8" t="s">
        <v>38</v>
      </c>
      <c r="B525" s="9" t="s">
        <v>39</v>
      </c>
      <c r="C525" s="9" t="s">
        <v>40</v>
      </c>
      <c r="D525" s="9" t="s">
        <v>99</v>
      </c>
      <c r="E525" s="10">
        <v>2014</v>
      </c>
      <c r="F525" s="10">
        <v>2015</v>
      </c>
      <c r="G525" s="9" t="s">
        <v>42</v>
      </c>
      <c r="H525" s="11">
        <v>13453.08</v>
      </c>
      <c r="I525" s="11">
        <v>13453.08</v>
      </c>
      <c r="J525" s="9" t="s">
        <v>43</v>
      </c>
      <c r="K525" s="9" t="s">
        <v>44</v>
      </c>
    </row>
    <row r="526" spans="1:11" x14ac:dyDescent="0.25">
      <c r="A526" s="8" t="s">
        <v>38</v>
      </c>
      <c r="B526" s="9" t="s">
        <v>39</v>
      </c>
      <c r="C526" s="9" t="s">
        <v>40</v>
      </c>
      <c r="D526" s="9" t="s">
        <v>99</v>
      </c>
      <c r="E526" s="10">
        <v>2014</v>
      </c>
      <c r="F526" s="10">
        <v>2015</v>
      </c>
      <c r="G526" s="9" t="s">
        <v>45</v>
      </c>
      <c r="H526" s="11">
        <v>17.09</v>
      </c>
      <c r="I526" s="11">
        <v>17.09</v>
      </c>
      <c r="J526" s="9" t="s">
        <v>43</v>
      </c>
      <c r="K526" s="9" t="s">
        <v>44</v>
      </c>
    </row>
    <row r="527" spans="1:11" x14ac:dyDescent="0.25">
      <c r="A527" s="8" t="s">
        <v>38</v>
      </c>
      <c r="B527" s="9" t="s">
        <v>39</v>
      </c>
      <c r="C527" s="9" t="s">
        <v>40</v>
      </c>
      <c r="D527" s="9" t="s">
        <v>99</v>
      </c>
      <c r="E527" s="10">
        <v>2014</v>
      </c>
      <c r="F527" s="10">
        <v>2015</v>
      </c>
      <c r="G527" s="9" t="s">
        <v>46</v>
      </c>
      <c r="H527" s="11">
        <v>16184</v>
      </c>
      <c r="I527" s="11">
        <v>16184</v>
      </c>
      <c r="J527" s="9" t="s">
        <v>43</v>
      </c>
      <c r="K527" s="9" t="s">
        <v>44</v>
      </c>
    </row>
    <row r="528" spans="1:11" x14ac:dyDescent="0.25">
      <c r="A528" s="8" t="s">
        <v>47</v>
      </c>
      <c r="B528" s="9" t="s">
        <v>48</v>
      </c>
      <c r="C528" s="9" t="s">
        <v>49</v>
      </c>
      <c r="D528" s="9" t="s">
        <v>99</v>
      </c>
      <c r="E528" s="10">
        <v>2014</v>
      </c>
      <c r="F528" s="10">
        <v>2015</v>
      </c>
      <c r="G528" s="9" t="s">
        <v>42</v>
      </c>
      <c r="H528" s="11">
        <v>17953.490000000002</v>
      </c>
      <c r="I528" s="11">
        <v>17953.490000000002</v>
      </c>
      <c r="J528" s="9" t="s">
        <v>43</v>
      </c>
      <c r="K528" s="9" t="s">
        <v>44</v>
      </c>
    </row>
    <row r="529" spans="1:11" x14ac:dyDescent="0.25">
      <c r="A529" s="8" t="s">
        <v>47</v>
      </c>
      <c r="B529" s="9" t="s">
        <v>48</v>
      </c>
      <c r="C529" s="9" t="s">
        <v>49</v>
      </c>
      <c r="D529" s="9" t="s">
        <v>99</v>
      </c>
      <c r="E529" s="10">
        <v>2014</v>
      </c>
      <c r="F529" s="10">
        <v>2015</v>
      </c>
      <c r="G529" s="9" t="s">
        <v>45</v>
      </c>
      <c r="H529" s="11">
        <v>54.57</v>
      </c>
      <c r="I529" s="11">
        <v>54.57</v>
      </c>
      <c r="J529" s="9" t="s">
        <v>43</v>
      </c>
      <c r="K529" s="9" t="s">
        <v>44</v>
      </c>
    </row>
    <row r="530" spans="1:11" x14ac:dyDescent="0.25">
      <c r="A530" s="8" t="s">
        <v>47</v>
      </c>
      <c r="B530" s="9" t="s">
        <v>48</v>
      </c>
      <c r="C530" s="9" t="s">
        <v>49</v>
      </c>
      <c r="D530" s="9" t="s">
        <v>99</v>
      </c>
      <c r="E530" s="10">
        <v>2014</v>
      </c>
      <c r="F530" s="10">
        <v>2015</v>
      </c>
      <c r="G530" s="9" t="s">
        <v>46</v>
      </c>
      <c r="H530" s="11">
        <v>34905.96</v>
      </c>
      <c r="I530" s="11">
        <v>34905.96</v>
      </c>
      <c r="J530" s="9" t="s">
        <v>43</v>
      </c>
      <c r="K530" s="9" t="s">
        <v>44</v>
      </c>
    </row>
    <row r="531" spans="1:11" x14ac:dyDescent="0.25">
      <c r="A531" s="8" t="s">
        <v>47</v>
      </c>
      <c r="B531" s="9" t="s">
        <v>48</v>
      </c>
      <c r="C531" s="9" t="s">
        <v>49</v>
      </c>
      <c r="D531" s="9" t="s">
        <v>99</v>
      </c>
      <c r="E531" s="10">
        <v>2014</v>
      </c>
      <c r="F531" s="10">
        <v>2015</v>
      </c>
      <c r="G531" s="9" t="s">
        <v>50</v>
      </c>
      <c r="H531" s="11">
        <v>361.69</v>
      </c>
      <c r="I531" s="11">
        <v>361.69</v>
      </c>
      <c r="J531" s="9" t="s">
        <v>43</v>
      </c>
      <c r="K531" s="9" t="s">
        <v>44</v>
      </c>
    </row>
    <row r="532" spans="1:11" x14ac:dyDescent="0.25">
      <c r="A532" s="8" t="s">
        <v>51</v>
      </c>
      <c r="B532" s="9" t="s">
        <v>52</v>
      </c>
      <c r="C532" s="9" t="s">
        <v>53</v>
      </c>
      <c r="D532" s="9" t="s">
        <v>99</v>
      </c>
      <c r="E532" s="10">
        <v>2014</v>
      </c>
      <c r="F532" s="10">
        <v>2015</v>
      </c>
      <c r="G532" s="9" t="s">
        <v>42</v>
      </c>
      <c r="H532" s="11">
        <v>771.44</v>
      </c>
      <c r="I532" s="11">
        <v>771.44</v>
      </c>
      <c r="J532" s="9" t="s">
        <v>43</v>
      </c>
      <c r="K532" s="9" t="s">
        <v>44</v>
      </c>
    </row>
    <row r="533" spans="1:11" x14ac:dyDescent="0.25">
      <c r="A533" s="8" t="s">
        <v>51</v>
      </c>
      <c r="B533" s="9" t="s">
        <v>52</v>
      </c>
      <c r="C533" s="9" t="s">
        <v>53</v>
      </c>
      <c r="D533" s="9" t="s">
        <v>99</v>
      </c>
      <c r="E533" s="10">
        <v>2014</v>
      </c>
      <c r="F533" s="10">
        <v>2015</v>
      </c>
      <c r="G533" s="9" t="s">
        <v>46</v>
      </c>
      <c r="H533" s="11">
        <v>73284.490000000005</v>
      </c>
      <c r="I533" s="11">
        <v>73284.490000000005</v>
      </c>
      <c r="J533" s="9" t="s">
        <v>43</v>
      </c>
      <c r="K533" s="9" t="s">
        <v>44</v>
      </c>
    </row>
    <row r="534" spans="1:11" x14ac:dyDescent="0.25">
      <c r="A534" s="8" t="s">
        <v>54</v>
      </c>
      <c r="B534" s="9" t="s">
        <v>55</v>
      </c>
      <c r="C534" s="9" t="s">
        <v>49</v>
      </c>
      <c r="D534" s="9" t="s">
        <v>99</v>
      </c>
      <c r="E534" s="10">
        <v>2014</v>
      </c>
      <c r="F534" s="10">
        <v>2015</v>
      </c>
      <c r="G534" s="9" t="s">
        <v>42</v>
      </c>
      <c r="H534" s="11">
        <v>5374.86</v>
      </c>
      <c r="I534" s="11">
        <v>5374.86</v>
      </c>
      <c r="J534" s="9" t="s">
        <v>43</v>
      </c>
      <c r="K534" s="9" t="s">
        <v>44</v>
      </c>
    </row>
    <row r="535" spans="1:11" x14ac:dyDescent="0.25">
      <c r="A535" s="8" t="s">
        <v>54</v>
      </c>
      <c r="B535" s="9" t="s">
        <v>55</v>
      </c>
      <c r="C535" s="9" t="s">
        <v>49</v>
      </c>
      <c r="D535" s="9" t="s">
        <v>99</v>
      </c>
      <c r="E535" s="10">
        <v>2014</v>
      </c>
      <c r="F535" s="10">
        <v>2015</v>
      </c>
      <c r="G535" s="9" t="s">
        <v>45</v>
      </c>
      <c r="H535" s="11">
        <v>96.37</v>
      </c>
      <c r="I535" s="11">
        <v>96.37</v>
      </c>
      <c r="J535" s="9" t="s">
        <v>43</v>
      </c>
      <c r="K535" s="9" t="s">
        <v>44</v>
      </c>
    </row>
    <row r="536" spans="1:11" x14ac:dyDescent="0.25">
      <c r="A536" s="8" t="s">
        <v>54</v>
      </c>
      <c r="B536" s="9" t="s">
        <v>55</v>
      </c>
      <c r="C536" s="9" t="s">
        <v>49</v>
      </c>
      <c r="D536" s="9" t="s">
        <v>99</v>
      </c>
      <c r="E536" s="10">
        <v>2014</v>
      </c>
      <c r="F536" s="10">
        <v>2015</v>
      </c>
      <c r="G536" s="9" t="s">
        <v>46</v>
      </c>
      <c r="H536" s="11">
        <v>32817.050000000003</v>
      </c>
      <c r="I536" s="11">
        <v>32817.050000000003</v>
      </c>
      <c r="J536" s="9" t="s">
        <v>43</v>
      </c>
      <c r="K536" s="9" t="s">
        <v>44</v>
      </c>
    </row>
    <row r="537" spans="1:11" x14ac:dyDescent="0.25">
      <c r="A537" s="8" t="s">
        <v>54</v>
      </c>
      <c r="B537" s="9" t="s">
        <v>55</v>
      </c>
      <c r="C537" s="9" t="s">
        <v>49</v>
      </c>
      <c r="D537" s="9" t="s">
        <v>99</v>
      </c>
      <c r="E537" s="10">
        <v>2014</v>
      </c>
      <c r="F537" s="10">
        <v>2015</v>
      </c>
      <c r="G537" s="9" t="s">
        <v>50</v>
      </c>
      <c r="H537" s="11">
        <v>73.819999999999993</v>
      </c>
      <c r="I537" s="11">
        <v>73.819999999999993</v>
      </c>
      <c r="J537" s="9" t="s">
        <v>43</v>
      </c>
      <c r="K537" s="9" t="s">
        <v>44</v>
      </c>
    </row>
    <row r="538" spans="1:11" x14ac:dyDescent="0.25">
      <c r="A538" s="8" t="s">
        <v>56</v>
      </c>
      <c r="B538" s="9" t="s">
        <v>57</v>
      </c>
      <c r="C538" s="9" t="s">
        <v>40</v>
      </c>
      <c r="D538" s="9" t="s">
        <v>99</v>
      </c>
      <c r="E538" s="10">
        <v>2014</v>
      </c>
      <c r="F538" s="10">
        <v>2015</v>
      </c>
      <c r="G538" s="9" t="s">
        <v>42</v>
      </c>
      <c r="H538" s="11">
        <v>12055.05</v>
      </c>
      <c r="I538" s="11">
        <v>12055.05</v>
      </c>
      <c r="J538" s="9" t="s">
        <v>43</v>
      </c>
      <c r="K538" s="9" t="s">
        <v>44</v>
      </c>
    </row>
    <row r="539" spans="1:11" x14ac:dyDescent="0.25">
      <c r="A539" s="8" t="s">
        <v>56</v>
      </c>
      <c r="B539" s="9" t="s">
        <v>57</v>
      </c>
      <c r="C539" s="9" t="s">
        <v>40</v>
      </c>
      <c r="D539" s="9" t="s">
        <v>99</v>
      </c>
      <c r="E539" s="10">
        <v>2014</v>
      </c>
      <c r="F539" s="10">
        <v>2015</v>
      </c>
      <c r="G539" s="9" t="s">
        <v>45</v>
      </c>
      <c r="H539" s="11">
        <v>37.99</v>
      </c>
      <c r="I539" s="11">
        <v>37.99</v>
      </c>
      <c r="J539" s="9" t="s">
        <v>43</v>
      </c>
      <c r="K539" s="9" t="s">
        <v>44</v>
      </c>
    </row>
    <row r="540" spans="1:11" x14ac:dyDescent="0.25">
      <c r="A540" s="8" t="s">
        <v>56</v>
      </c>
      <c r="B540" s="9" t="s">
        <v>57</v>
      </c>
      <c r="C540" s="9" t="s">
        <v>40</v>
      </c>
      <c r="D540" s="9" t="s">
        <v>99</v>
      </c>
      <c r="E540" s="10">
        <v>2014</v>
      </c>
      <c r="F540" s="10">
        <v>2015</v>
      </c>
      <c r="G540" s="9" t="s">
        <v>46</v>
      </c>
      <c r="H540" s="11">
        <v>24320.58</v>
      </c>
      <c r="I540" s="11">
        <v>24320.58</v>
      </c>
      <c r="J540" s="9" t="s">
        <v>43</v>
      </c>
      <c r="K540" s="9" t="s">
        <v>44</v>
      </c>
    </row>
    <row r="541" spans="1:11" x14ac:dyDescent="0.25">
      <c r="A541" s="8" t="s">
        <v>56</v>
      </c>
      <c r="B541" s="9" t="s">
        <v>57</v>
      </c>
      <c r="C541" s="9" t="s">
        <v>40</v>
      </c>
      <c r="D541" s="9" t="s">
        <v>99</v>
      </c>
      <c r="E541" s="10">
        <v>2014</v>
      </c>
      <c r="F541" s="10">
        <v>2015</v>
      </c>
      <c r="G541" s="9" t="s">
        <v>50</v>
      </c>
      <c r="H541" s="11">
        <v>19.21</v>
      </c>
      <c r="I541" s="11">
        <v>19.21</v>
      </c>
      <c r="J541" s="9" t="s">
        <v>43</v>
      </c>
      <c r="K541" s="9" t="s">
        <v>44</v>
      </c>
    </row>
    <row r="542" spans="1:11" x14ac:dyDescent="0.25">
      <c r="A542" s="8" t="s">
        <v>58</v>
      </c>
      <c r="B542" s="9" t="s">
        <v>59</v>
      </c>
      <c r="C542" s="9" t="s">
        <v>49</v>
      </c>
      <c r="D542" s="9" t="s">
        <v>99</v>
      </c>
      <c r="E542" s="10">
        <v>2014</v>
      </c>
      <c r="F542" s="10">
        <v>2015</v>
      </c>
      <c r="G542" s="9" t="s">
        <v>42</v>
      </c>
      <c r="H542" s="11">
        <v>20183.009999999998</v>
      </c>
      <c r="I542" s="11">
        <v>20183.009999999998</v>
      </c>
      <c r="J542" s="9" t="s">
        <v>43</v>
      </c>
      <c r="K542" s="9" t="s">
        <v>44</v>
      </c>
    </row>
    <row r="543" spans="1:11" x14ac:dyDescent="0.25">
      <c r="A543" s="8" t="s">
        <v>58</v>
      </c>
      <c r="B543" s="9" t="s">
        <v>59</v>
      </c>
      <c r="C543" s="9" t="s">
        <v>49</v>
      </c>
      <c r="D543" s="9" t="s">
        <v>99</v>
      </c>
      <c r="E543" s="10">
        <v>2014</v>
      </c>
      <c r="F543" s="10">
        <v>2015</v>
      </c>
      <c r="G543" s="9" t="s">
        <v>45</v>
      </c>
      <c r="H543" s="11">
        <v>62.75</v>
      </c>
      <c r="I543" s="11">
        <v>62.75</v>
      </c>
      <c r="J543" s="9" t="s">
        <v>43</v>
      </c>
      <c r="K543" s="9" t="s">
        <v>44</v>
      </c>
    </row>
    <row r="544" spans="1:11" x14ac:dyDescent="0.25">
      <c r="A544" s="8" t="s">
        <v>58</v>
      </c>
      <c r="B544" s="9" t="s">
        <v>59</v>
      </c>
      <c r="C544" s="9" t="s">
        <v>49</v>
      </c>
      <c r="D544" s="9" t="s">
        <v>99</v>
      </c>
      <c r="E544" s="10">
        <v>2014</v>
      </c>
      <c r="F544" s="10">
        <v>2015</v>
      </c>
      <c r="G544" s="9" t="s">
        <v>46</v>
      </c>
      <c r="H544" s="11">
        <v>50115.94</v>
      </c>
      <c r="I544" s="11">
        <v>50115.94</v>
      </c>
      <c r="J544" s="9" t="s">
        <v>43</v>
      </c>
      <c r="K544" s="9" t="s">
        <v>44</v>
      </c>
    </row>
    <row r="545" spans="1:11" x14ac:dyDescent="0.25">
      <c r="A545" s="8" t="s">
        <v>58</v>
      </c>
      <c r="B545" s="9" t="s">
        <v>59</v>
      </c>
      <c r="C545" s="9" t="s">
        <v>49</v>
      </c>
      <c r="D545" s="9" t="s">
        <v>99</v>
      </c>
      <c r="E545" s="10">
        <v>2014</v>
      </c>
      <c r="F545" s="10">
        <v>2015</v>
      </c>
      <c r="G545" s="9" t="s">
        <v>50</v>
      </c>
      <c r="H545" s="11">
        <v>96.98</v>
      </c>
      <c r="I545" s="11">
        <v>96.98</v>
      </c>
      <c r="J545" s="9" t="s">
        <v>43</v>
      </c>
      <c r="K545" s="9" t="s">
        <v>44</v>
      </c>
    </row>
    <row r="546" spans="1:11" x14ac:dyDescent="0.25">
      <c r="A546" s="8" t="s">
        <v>60</v>
      </c>
      <c r="B546" s="9" t="s">
        <v>61</v>
      </c>
      <c r="C546" s="9" t="s">
        <v>40</v>
      </c>
      <c r="D546" s="9" t="s">
        <v>99</v>
      </c>
      <c r="E546" s="10">
        <v>2014</v>
      </c>
      <c r="F546" s="10">
        <v>2015</v>
      </c>
      <c r="G546" s="9" t="s">
        <v>42</v>
      </c>
      <c r="H546" s="11">
        <v>131943.82999999999</v>
      </c>
      <c r="I546" s="11">
        <v>131943.82999999999</v>
      </c>
      <c r="J546" s="9" t="s">
        <v>43</v>
      </c>
      <c r="K546" s="9" t="s">
        <v>44</v>
      </c>
    </row>
    <row r="547" spans="1:11" x14ac:dyDescent="0.25">
      <c r="A547" s="8" t="s">
        <v>60</v>
      </c>
      <c r="B547" s="9" t="s">
        <v>61</v>
      </c>
      <c r="C547" s="9" t="s">
        <v>40</v>
      </c>
      <c r="D547" s="9" t="s">
        <v>99</v>
      </c>
      <c r="E547" s="10">
        <v>2014</v>
      </c>
      <c r="F547" s="10">
        <v>2015</v>
      </c>
      <c r="G547" s="9" t="s">
        <v>45</v>
      </c>
      <c r="H547" s="11">
        <v>262.17</v>
      </c>
      <c r="I547" s="11">
        <v>262.17</v>
      </c>
      <c r="J547" s="9" t="s">
        <v>43</v>
      </c>
      <c r="K547" s="9" t="s">
        <v>44</v>
      </c>
    </row>
    <row r="548" spans="1:11" x14ac:dyDescent="0.25">
      <c r="A548" s="8" t="s">
        <v>60</v>
      </c>
      <c r="B548" s="9" t="s">
        <v>61</v>
      </c>
      <c r="C548" s="9" t="s">
        <v>40</v>
      </c>
      <c r="D548" s="9" t="s">
        <v>99</v>
      </c>
      <c r="E548" s="10">
        <v>2014</v>
      </c>
      <c r="F548" s="10">
        <v>2015</v>
      </c>
      <c r="G548" s="9" t="s">
        <v>46</v>
      </c>
      <c r="H548" s="11">
        <v>50351.33</v>
      </c>
      <c r="I548" s="11">
        <v>50351.33</v>
      </c>
      <c r="J548" s="9" t="s">
        <v>43</v>
      </c>
      <c r="K548" s="9" t="s">
        <v>44</v>
      </c>
    </row>
    <row r="549" spans="1:11" x14ac:dyDescent="0.25">
      <c r="A549" s="8" t="s">
        <v>60</v>
      </c>
      <c r="B549" s="9" t="s">
        <v>61</v>
      </c>
      <c r="C549" s="9" t="s">
        <v>40</v>
      </c>
      <c r="D549" s="9" t="s">
        <v>99</v>
      </c>
      <c r="E549" s="10">
        <v>2014</v>
      </c>
      <c r="F549" s="10">
        <v>2015</v>
      </c>
      <c r="G549" s="9" t="s">
        <v>50</v>
      </c>
      <c r="H549" s="11">
        <v>12328.94</v>
      </c>
      <c r="I549" s="11">
        <v>12328.94</v>
      </c>
      <c r="J549" s="9" t="s">
        <v>43</v>
      </c>
      <c r="K549" s="9" t="s">
        <v>44</v>
      </c>
    </row>
    <row r="550" spans="1:11" x14ac:dyDescent="0.25">
      <c r="A550" s="8" t="s">
        <v>62</v>
      </c>
      <c r="B550" s="9" t="s">
        <v>63</v>
      </c>
      <c r="C550" s="9" t="s">
        <v>40</v>
      </c>
      <c r="D550" s="9" t="s">
        <v>99</v>
      </c>
      <c r="E550" s="10">
        <v>2014</v>
      </c>
      <c r="F550" s="10">
        <v>2015</v>
      </c>
      <c r="G550" s="9" t="s">
        <v>42</v>
      </c>
      <c r="H550" s="11">
        <v>90530.3</v>
      </c>
      <c r="I550" s="11">
        <v>90530.3</v>
      </c>
      <c r="J550" s="9" t="s">
        <v>43</v>
      </c>
      <c r="K550" s="9" t="s">
        <v>44</v>
      </c>
    </row>
    <row r="551" spans="1:11" x14ac:dyDescent="0.25">
      <c r="A551" s="8" t="s">
        <v>62</v>
      </c>
      <c r="B551" s="9" t="s">
        <v>63</v>
      </c>
      <c r="C551" s="9" t="s">
        <v>40</v>
      </c>
      <c r="D551" s="9" t="s">
        <v>99</v>
      </c>
      <c r="E551" s="10">
        <v>2014</v>
      </c>
      <c r="F551" s="10">
        <v>2015</v>
      </c>
      <c r="G551" s="9" t="s">
        <v>45</v>
      </c>
      <c r="H551" s="11">
        <v>160.26</v>
      </c>
      <c r="I551" s="11">
        <v>160.26</v>
      </c>
      <c r="J551" s="9" t="s">
        <v>43</v>
      </c>
      <c r="K551" s="9" t="s">
        <v>44</v>
      </c>
    </row>
    <row r="552" spans="1:11" x14ac:dyDescent="0.25">
      <c r="A552" s="8" t="s">
        <v>62</v>
      </c>
      <c r="B552" s="9" t="s">
        <v>63</v>
      </c>
      <c r="C552" s="9" t="s">
        <v>40</v>
      </c>
      <c r="D552" s="9" t="s">
        <v>99</v>
      </c>
      <c r="E552" s="10">
        <v>2014</v>
      </c>
      <c r="F552" s="10">
        <v>2015</v>
      </c>
      <c r="G552" s="9" t="s">
        <v>46</v>
      </c>
      <c r="H552" s="11">
        <v>45020.1</v>
      </c>
      <c r="I552" s="11">
        <v>45020.1</v>
      </c>
      <c r="J552" s="9" t="s">
        <v>43</v>
      </c>
      <c r="K552" s="9" t="s">
        <v>44</v>
      </c>
    </row>
    <row r="553" spans="1:11" x14ac:dyDescent="0.25">
      <c r="A553" s="8" t="s">
        <v>62</v>
      </c>
      <c r="B553" s="9" t="s">
        <v>63</v>
      </c>
      <c r="C553" s="9" t="s">
        <v>40</v>
      </c>
      <c r="D553" s="9" t="s">
        <v>99</v>
      </c>
      <c r="E553" s="10">
        <v>2014</v>
      </c>
      <c r="F553" s="10">
        <v>2015</v>
      </c>
      <c r="G553" s="9" t="s">
        <v>50</v>
      </c>
      <c r="H553" s="11">
        <v>2490.94</v>
      </c>
      <c r="I553" s="11">
        <v>2490.94</v>
      </c>
      <c r="J553" s="9" t="s">
        <v>43</v>
      </c>
      <c r="K553" s="9" t="s">
        <v>44</v>
      </c>
    </row>
    <row r="554" spans="1:11" x14ac:dyDescent="0.25">
      <c r="A554" s="8" t="s">
        <v>65</v>
      </c>
      <c r="B554" s="9" t="s">
        <v>66</v>
      </c>
      <c r="C554" s="9" t="s">
        <v>40</v>
      </c>
      <c r="D554" s="9" t="s">
        <v>99</v>
      </c>
      <c r="E554" s="10">
        <v>2014</v>
      </c>
      <c r="F554" s="10">
        <v>2015</v>
      </c>
      <c r="G554" s="9" t="s">
        <v>42</v>
      </c>
      <c r="H554" s="11">
        <v>1377.1</v>
      </c>
      <c r="I554" s="11">
        <v>1377.1</v>
      </c>
      <c r="J554" s="9" t="s">
        <v>43</v>
      </c>
      <c r="K554" s="9" t="s">
        <v>44</v>
      </c>
    </row>
    <row r="555" spans="1:11" x14ac:dyDescent="0.25">
      <c r="A555" s="8" t="s">
        <v>65</v>
      </c>
      <c r="B555" s="9" t="s">
        <v>66</v>
      </c>
      <c r="C555" s="9" t="s">
        <v>40</v>
      </c>
      <c r="D555" s="9" t="s">
        <v>99</v>
      </c>
      <c r="E555" s="10">
        <v>2014</v>
      </c>
      <c r="F555" s="10">
        <v>2015</v>
      </c>
      <c r="G555" s="9" t="s">
        <v>46</v>
      </c>
      <c r="H555" s="11">
        <v>7951.63</v>
      </c>
      <c r="I555" s="11">
        <v>7951.63</v>
      </c>
      <c r="J555" s="9" t="s">
        <v>43</v>
      </c>
      <c r="K555" s="9" t="s">
        <v>44</v>
      </c>
    </row>
    <row r="556" spans="1:11" x14ac:dyDescent="0.25">
      <c r="A556" s="8" t="s">
        <v>67</v>
      </c>
      <c r="B556" s="9" t="s">
        <v>68</v>
      </c>
      <c r="C556" s="9" t="s">
        <v>69</v>
      </c>
      <c r="D556" s="9" t="s">
        <v>99</v>
      </c>
      <c r="E556" s="10">
        <v>2014</v>
      </c>
      <c r="F556" s="10">
        <v>2015</v>
      </c>
      <c r="G556" s="9" t="s">
        <v>42</v>
      </c>
      <c r="H556" s="11">
        <v>80439.02</v>
      </c>
      <c r="I556" s="11">
        <v>80439.02</v>
      </c>
      <c r="J556" s="9" t="s">
        <v>43</v>
      </c>
      <c r="K556" s="9" t="s">
        <v>44</v>
      </c>
    </row>
    <row r="557" spans="1:11" x14ac:dyDescent="0.25">
      <c r="A557" s="8" t="s">
        <v>67</v>
      </c>
      <c r="B557" s="9" t="s">
        <v>68</v>
      </c>
      <c r="C557" s="9" t="s">
        <v>69</v>
      </c>
      <c r="D557" s="9" t="s">
        <v>99</v>
      </c>
      <c r="E557" s="10">
        <v>2014</v>
      </c>
      <c r="F557" s="10">
        <v>2015</v>
      </c>
      <c r="G557" s="9" t="s">
        <v>45</v>
      </c>
      <c r="H557" s="11">
        <v>69.430000000000007</v>
      </c>
      <c r="I557" s="11">
        <v>69.430000000000007</v>
      </c>
      <c r="J557" s="9" t="s">
        <v>43</v>
      </c>
      <c r="K557" s="9" t="s">
        <v>44</v>
      </c>
    </row>
    <row r="558" spans="1:11" x14ac:dyDescent="0.25">
      <c r="A558" s="8" t="s">
        <v>67</v>
      </c>
      <c r="B558" s="9" t="s">
        <v>68</v>
      </c>
      <c r="C558" s="9" t="s">
        <v>69</v>
      </c>
      <c r="D558" s="9" t="s">
        <v>99</v>
      </c>
      <c r="E558" s="10">
        <v>2014</v>
      </c>
      <c r="F558" s="10">
        <v>2015</v>
      </c>
      <c r="G558" s="9" t="s">
        <v>46</v>
      </c>
      <c r="H558" s="11">
        <v>22219.47</v>
      </c>
      <c r="I558" s="11">
        <v>22219.47</v>
      </c>
      <c r="J558" s="9" t="s">
        <v>43</v>
      </c>
      <c r="K558" s="9" t="s">
        <v>44</v>
      </c>
    </row>
    <row r="559" spans="1:11" x14ac:dyDescent="0.25">
      <c r="A559" s="8" t="s">
        <v>67</v>
      </c>
      <c r="B559" s="9" t="s">
        <v>68</v>
      </c>
      <c r="C559" s="9" t="s">
        <v>69</v>
      </c>
      <c r="D559" s="9" t="s">
        <v>99</v>
      </c>
      <c r="E559" s="10">
        <v>2014</v>
      </c>
      <c r="F559" s="10">
        <v>2015</v>
      </c>
      <c r="G559" s="9" t="s">
        <v>50</v>
      </c>
      <c r="H559" s="11">
        <v>22160.39</v>
      </c>
      <c r="I559" s="11">
        <v>22160.39</v>
      </c>
      <c r="J559" s="9" t="s">
        <v>43</v>
      </c>
      <c r="K559" s="9" t="s">
        <v>44</v>
      </c>
    </row>
    <row r="560" spans="1:11" x14ac:dyDescent="0.25">
      <c r="A560" s="8" t="s">
        <v>70</v>
      </c>
      <c r="B560" s="9" t="s">
        <v>71</v>
      </c>
      <c r="C560" s="9" t="s">
        <v>49</v>
      </c>
      <c r="D560" s="9" t="s">
        <v>99</v>
      </c>
      <c r="E560" s="10">
        <v>2014</v>
      </c>
      <c r="F560" s="10">
        <v>2015</v>
      </c>
      <c r="G560" s="9" t="s">
        <v>42</v>
      </c>
      <c r="H560" s="11">
        <v>63076.71</v>
      </c>
      <c r="I560" s="11">
        <v>63076.71</v>
      </c>
      <c r="J560" s="9" t="s">
        <v>43</v>
      </c>
      <c r="K560" s="9" t="s">
        <v>44</v>
      </c>
    </row>
    <row r="561" spans="1:11" x14ac:dyDescent="0.25">
      <c r="A561" s="8" t="s">
        <v>70</v>
      </c>
      <c r="B561" s="9" t="s">
        <v>71</v>
      </c>
      <c r="C561" s="9" t="s">
        <v>49</v>
      </c>
      <c r="D561" s="9" t="s">
        <v>99</v>
      </c>
      <c r="E561" s="10">
        <v>2014</v>
      </c>
      <c r="F561" s="10">
        <v>2015</v>
      </c>
      <c r="G561" s="9" t="s">
        <v>45</v>
      </c>
      <c r="H561" s="11">
        <v>159.35</v>
      </c>
      <c r="I561" s="11">
        <v>159.35</v>
      </c>
      <c r="J561" s="9" t="s">
        <v>43</v>
      </c>
      <c r="K561" s="9" t="s">
        <v>44</v>
      </c>
    </row>
    <row r="562" spans="1:11" x14ac:dyDescent="0.25">
      <c r="A562" s="8" t="s">
        <v>70</v>
      </c>
      <c r="B562" s="9" t="s">
        <v>71</v>
      </c>
      <c r="C562" s="9" t="s">
        <v>49</v>
      </c>
      <c r="D562" s="9" t="s">
        <v>99</v>
      </c>
      <c r="E562" s="10">
        <v>2014</v>
      </c>
      <c r="F562" s="10">
        <v>2015</v>
      </c>
      <c r="G562" s="9" t="s">
        <v>46</v>
      </c>
      <c r="H562" s="11">
        <v>36984.47</v>
      </c>
      <c r="I562" s="11">
        <v>36984.47</v>
      </c>
      <c r="J562" s="9" t="s">
        <v>43</v>
      </c>
      <c r="K562" s="9" t="s">
        <v>44</v>
      </c>
    </row>
    <row r="563" spans="1:11" x14ac:dyDescent="0.25">
      <c r="A563" s="8" t="s">
        <v>70</v>
      </c>
      <c r="B563" s="9" t="s">
        <v>71</v>
      </c>
      <c r="C563" s="9" t="s">
        <v>49</v>
      </c>
      <c r="D563" s="9" t="s">
        <v>99</v>
      </c>
      <c r="E563" s="10">
        <v>2014</v>
      </c>
      <c r="F563" s="10">
        <v>2015</v>
      </c>
      <c r="G563" s="9" t="s">
        <v>50</v>
      </c>
      <c r="H563" s="11">
        <v>5655.75</v>
      </c>
      <c r="I563" s="11">
        <v>5655.75</v>
      </c>
      <c r="J563" s="9" t="s">
        <v>43</v>
      </c>
      <c r="K563" s="9" t="s">
        <v>44</v>
      </c>
    </row>
    <row r="564" spans="1:11" x14ac:dyDescent="0.25">
      <c r="A564" s="8" t="s">
        <v>72</v>
      </c>
      <c r="B564" s="9" t="s">
        <v>73</v>
      </c>
      <c r="C564" s="9" t="s">
        <v>53</v>
      </c>
      <c r="D564" s="9" t="s">
        <v>99</v>
      </c>
      <c r="E564" s="10">
        <v>2014</v>
      </c>
      <c r="F564" s="10">
        <v>2015</v>
      </c>
      <c r="G564" s="9" t="s">
        <v>42</v>
      </c>
      <c r="H564" s="11">
        <v>14899.98</v>
      </c>
      <c r="I564" s="11">
        <v>14899.98</v>
      </c>
      <c r="J564" s="9" t="s">
        <v>43</v>
      </c>
      <c r="K564" s="9" t="s">
        <v>44</v>
      </c>
    </row>
    <row r="565" spans="1:11" x14ac:dyDescent="0.25">
      <c r="A565" s="8" t="s">
        <v>72</v>
      </c>
      <c r="B565" s="9" t="s">
        <v>73</v>
      </c>
      <c r="C565" s="9" t="s">
        <v>53</v>
      </c>
      <c r="D565" s="9" t="s">
        <v>99</v>
      </c>
      <c r="E565" s="10">
        <v>2014</v>
      </c>
      <c r="F565" s="10">
        <v>2015</v>
      </c>
      <c r="G565" s="9" t="s">
        <v>45</v>
      </c>
      <c r="H565" s="11">
        <v>6.55</v>
      </c>
      <c r="I565" s="11">
        <v>6.55</v>
      </c>
      <c r="J565" s="9" t="s">
        <v>43</v>
      </c>
      <c r="K565" s="9" t="s">
        <v>44</v>
      </c>
    </row>
    <row r="566" spans="1:11" x14ac:dyDescent="0.25">
      <c r="A566" s="8" t="s">
        <v>72</v>
      </c>
      <c r="B566" s="9" t="s">
        <v>73</v>
      </c>
      <c r="C566" s="9" t="s">
        <v>53</v>
      </c>
      <c r="D566" s="9" t="s">
        <v>99</v>
      </c>
      <c r="E566" s="10">
        <v>2014</v>
      </c>
      <c r="F566" s="10">
        <v>2015</v>
      </c>
      <c r="G566" s="9" t="s">
        <v>46</v>
      </c>
      <c r="H566" s="11">
        <v>110066.44</v>
      </c>
      <c r="I566" s="11">
        <v>110066.44</v>
      </c>
      <c r="J566" s="9" t="s">
        <v>43</v>
      </c>
      <c r="K566" s="9" t="s">
        <v>44</v>
      </c>
    </row>
    <row r="567" spans="1:11" x14ac:dyDescent="0.25">
      <c r="A567" s="8" t="s">
        <v>72</v>
      </c>
      <c r="B567" s="9" t="s">
        <v>73</v>
      </c>
      <c r="C567" s="9" t="s">
        <v>53</v>
      </c>
      <c r="D567" s="9" t="s">
        <v>99</v>
      </c>
      <c r="E567" s="10">
        <v>2014</v>
      </c>
      <c r="F567" s="10">
        <v>2015</v>
      </c>
      <c r="G567" s="9" t="s">
        <v>64</v>
      </c>
      <c r="H567" s="11">
        <v>7.47</v>
      </c>
      <c r="I567" s="11">
        <v>7.47</v>
      </c>
      <c r="J567" s="9" t="s">
        <v>43</v>
      </c>
      <c r="K567" s="9" t="s">
        <v>44</v>
      </c>
    </row>
    <row r="568" spans="1:11" x14ac:dyDescent="0.25">
      <c r="A568" s="8" t="s">
        <v>72</v>
      </c>
      <c r="B568" s="9" t="s">
        <v>73</v>
      </c>
      <c r="C568" s="9" t="s">
        <v>53</v>
      </c>
      <c r="D568" s="9" t="s">
        <v>99</v>
      </c>
      <c r="E568" s="10">
        <v>2014</v>
      </c>
      <c r="F568" s="10">
        <v>2015</v>
      </c>
      <c r="G568" s="9" t="s">
        <v>50</v>
      </c>
      <c r="H568" s="11">
        <v>25.21</v>
      </c>
      <c r="I568" s="11">
        <v>25.21</v>
      </c>
      <c r="J568" s="9" t="s">
        <v>43</v>
      </c>
      <c r="K568" s="9" t="s">
        <v>44</v>
      </c>
    </row>
    <row r="569" spans="1:11" x14ac:dyDescent="0.25">
      <c r="A569" s="8" t="s">
        <v>74</v>
      </c>
      <c r="B569" s="9" t="s">
        <v>75</v>
      </c>
      <c r="C569" s="9" t="s">
        <v>40</v>
      </c>
      <c r="D569" s="9" t="s">
        <v>99</v>
      </c>
      <c r="E569" s="10">
        <v>2014</v>
      </c>
      <c r="F569" s="10">
        <v>2015</v>
      </c>
      <c r="G569" s="9" t="s">
        <v>42</v>
      </c>
      <c r="H569" s="11">
        <v>14215.99</v>
      </c>
      <c r="I569" s="11">
        <v>14215.99</v>
      </c>
      <c r="J569" s="9" t="s">
        <v>43</v>
      </c>
      <c r="K569" s="9" t="s">
        <v>44</v>
      </c>
    </row>
    <row r="570" spans="1:11" x14ac:dyDescent="0.25">
      <c r="A570" s="8" t="s">
        <v>74</v>
      </c>
      <c r="B570" s="9" t="s">
        <v>75</v>
      </c>
      <c r="C570" s="9" t="s">
        <v>40</v>
      </c>
      <c r="D570" s="9" t="s">
        <v>99</v>
      </c>
      <c r="E570" s="10">
        <v>2014</v>
      </c>
      <c r="F570" s="10">
        <v>2015</v>
      </c>
      <c r="G570" s="9" t="s">
        <v>45</v>
      </c>
      <c r="H570" s="11">
        <v>19.13</v>
      </c>
      <c r="I570" s="11">
        <v>19.13</v>
      </c>
      <c r="J570" s="9" t="s">
        <v>43</v>
      </c>
      <c r="K570" s="9" t="s">
        <v>44</v>
      </c>
    </row>
    <row r="571" spans="1:11" x14ac:dyDescent="0.25">
      <c r="A571" s="8" t="s">
        <v>74</v>
      </c>
      <c r="B571" s="9" t="s">
        <v>75</v>
      </c>
      <c r="C571" s="9" t="s">
        <v>40</v>
      </c>
      <c r="D571" s="9" t="s">
        <v>99</v>
      </c>
      <c r="E571" s="10">
        <v>2014</v>
      </c>
      <c r="F571" s="10">
        <v>2015</v>
      </c>
      <c r="G571" s="9" t="s">
        <v>46</v>
      </c>
      <c r="H571" s="11">
        <v>29057.14</v>
      </c>
      <c r="I571" s="11">
        <v>29057.14</v>
      </c>
      <c r="J571" s="9" t="s">
        <v>43</v>
      </c>
      <c r="K571" s="9" t="s">
        <v>44</v>
      </c>
    </row>
    <row r="572" spans="1:11" x14ac:dyDescent="0.25">
      <c r="A572" s="8" t="s">
        <v>74</v>
      </c>
      <c r="B572" s="9" t="s">
        <v>75</v>
      </c>
      <c r="C572" s="9" t="s">
        <v>40</v>
      </c>
      <c r="D572" s="9" t="s">
        <v>99</v>
      </c>
      <c r="E572" s="10">
        <v>2014</v>
      </c>
      <c r="F572" s="10">
        <v>2015</v>
      </c>
      <c r="G572" s="9" t="s">
        <v>50</v>
      </c>
      <c r="H572" s="11">
        <v>45.58</v>
      </c>
      <c r="I572" s="11">
        <v>45.58</v>
      </c>
      <c r="J572" s="9" t="s">
        <v>43</v>
      </c>
      <c r="K572" s="9" t="s">
        <v>44</v>
      </c>
    </row>
    <row r="573" spans="1:11" x14ac:dyDescent="0.25">
      <c r="A573" s="8" t="s">
        <v>76</v>
      </c>
      <c r="B573" s="9" t="s">
        <v>77</v>
      </c>
      <c r="C573" s="9" t="s">
        <v>53</v>
      </c>
      <c r="D573" s="9" t="s">
        <v>99</v>
      </c>
      <c r="E573" s="10">
        <v>2014</v>
      </c>
      <c r="F573" s="10">
        <v>2015</v>
      </c>
      <c r="G573" s="9" t="s">
        <v>42</v>
      </c>
      <c r="H573" s="11">
        <v>68.09</v>
      </c>
      <c r="I573" s="11">
        <v>68.09</v>
      </c>
      <c r="J573" s="9" t="s">
        <v>43</v>
      </c>
      <c r="K573" s="9" t="s">
        <v>44</v>
      </c>
    </row>
    <row r="574" spans="1:11" x14ac:dyDescent="0.25">
      <c r="A574" s="8" t="s">
        <v>76</v>
      </c>
      <c r="B574" s="9" t="s">
        <v>77</v>
      </c>
      <c r="C574" s="9" t="s">
        <v>53</v>
      </c>
      <c r="D574" s="9" t="s">
        <v>99</v>
      </c>
      <c r="E574" s="10">
        <v>2014</v>
      </c>
      <c r="F574" s="10">
        <v>2015</v>
      </c>
      <c r="G574" s="9" t="s">
        <v>46</v>
      </c>
      <c r="H574" s="11">
        <v>25012.94</v>
      </c>
      <c r="I574" s="11">
        <v>25012.94</v>
      </c>
      <c r="J574" s="9" t="s">
        <v>43</v>
      </c>
      <c r="K574" s="9" t="s">
        <v>44</v>
      </c>
    </row>
    <row r="575" spans="1:11" x14ac:dyDescent="0.25">
      <c r="A575" s="8" t="s">
        <v>78</v>
      </c>
      <c r="B575" s="9" t="s">
        <v>79</v>
      </c>
      <c r="C575" s="9" t="s">
        <v>53</v>
      </c>
      <c r="D575" s="9" t="s">
        <v>99</v>
      </c>
      <c r="E575" s="10">
        <v>2014</v>
      </c>
      <c r="F575" s="10">
        <v>2015</v>
      </c>
      <c r="G575" s="9" t="s">
        <v>42</v>
      </c>
      <c r="H575" s="11">
        <v>1388.28</v>
      </c>
      <c r="I575" s="11">
        <v>1388.28</v>
      </c>
      <c r="J575" s="9" t="s">
        <v>43</v>
      </c>
      <c r="K575" s="9" t="s">
        <v>44</v>
      </c>
    </row>
    <row r="576" spans="1:11" x14ac:dyDescent="0.25">
      <c r="A576" s="8" t="s">
        <v>78</v>
      </c>
      <c r="B576" s="9" t="s">
        <v>79</v>
      </c>
      <c r="C576" s="9" t="s">
        <v>53</v>
      </c>
      <c r="D576" s="9" t="s">
        <v>99</v>
      </c>
      <c r="E576" s="10">
        <v>2014</v>
      </c>
      <c r="F576" s="10">
        <v>2015</v>
      </c>
      <c r="G576" s="9" t="s">
        <v>46</v>
      </c>
      <c r="H576" s="11">
        <v>55094.57</v>
      </c>
      <c r="I576" s="11">
        <v>55094.57</v>
      </c>
      <c r="J576" s="9" t="s">
        <v>43</v>
      </c>
      <c r="K576" s="9" t="s">
        <v>44</v>
      </c>
    </row>
    <row r="577" spans="1:11" x14ac:dyDescent="0.25">
      <c r="A577" s="8" t="s">
        <v>78</v>
      </c>
      <c r="B577" s="9" t="s">
        <v>79</v>
      </c>
      <c r="C577" s="9" t="s">
        <v>53</v>
      </c>
      <c r="D577" s="9" t="s">
        <v>99</v>
      </c>
      <c r="E577" s="10">
        <v>2014</v>
      </c>
      <c r="F577" s="10">
        <v>2015</v>
      </c>
      <c r="G577" s="9" t="s">
        <v>50</v>
      </c>
      <c r="H577" s="11">
        <v>23.4</v>
      </c>
      <c r="I577" s="11">
        <v>23.4</v>
      </c>
      <c r="J577" s="9" t="s">
        <v>43</v>
      </c>
      <c r="K577" s="9" t="s">
        <v>44</v>
      </c>
    </row>
    <row r="578" spans="1:11" x14ac:dyDescent="0.25">
      <c r="A578" s="8" t="s">
        <v>80</v>
      </c>
      <c r="B578" s="9" t="s">
        <v>81</v>
      </c>
      <c r="C578" s="9" t="s">
        <v>49</v>
      </c>
      <c r="D578" s="9" t="s">
        <v>99</v>
      </c>
      <c r="E578" s="10">
        <v>2014</v>
      </c>
      <c r="F578" s="10">
        <v>2015</v>
      </c>
      <c r="G578" s="9" t="s">
        <v>42</v>
      </c>
      <c r="H578" s="11">
        <v>64446.85</v>
      </c>
      <c r="I578" s="11">
        <v>64446.85</v>
      </c>
      <c r="J578" s="9" t="s">
        <v>43</v>
      </c>
      <c r="K578" s="9" t="s">
        <v>44</v>
      </c>
    </row>
    <row r="579" spans="1:11" x14ac:dyDescent="0.25">
      <c r="A579" s="8" t="s">
        <v>80</v>
      </c>
      <c r="B579" s="9" t="s">
        <v>81</v>
      </c>
      <c r="C579" s="9" t="s">
        <v>49</v>
      </c>
      <c r="D579" s="9" t="s">
        <v>99</v>
      </c>
      <c r="E579" s="10">
        <v>2014</v>
      </c>
      <c r="F579" s="10">
        <v>2015</v>
      </c>
      <c r="G579" s="9" t="s">
        <v>45</v>
      </c>
      <c r="H579" s="11">
        <v>1770.9</v>
      </c>
      <c r="I579" s="11">
        <v>1770.9</v>
      </c>
      <c r="J579" s="9" t="s">
        <v>43</v>
      </c>
      <c r="K579" s="9" t="s">
        <v>44</v>
      </c>
    </row>
    <row r="580" spans="1:11" x14ac:dyDescent="0.25">
      <c r="A580" s="8" t="s">
        <v>80</v>
      </c>
      <c r="B580" s="9" t="s">
        <v>81</v>
      </c>
      <c r="C580" s="9" t="s">
        <v>49</v>
      </c>
      <c r="D580" s="9" t="s">
        <v>99</v>
      </c>
      <c r="E580" s="10">
        <v>2014</v>
      </c>
      <c r="F580" s="10">
        <v>2015</v>
      </c>
      <c r="G580" s="9" t="s">
        <v>46</v>
      </c>
      <c r="H580" s="11">
        <v>221367.83</v>
      </c>
      <c r="I580" s="11">
        <v>221367.83</v>
      </c>
      <c r="J580" s="9" t="s">
        <v>43</v>
      </c>
      <c r="K580" s="9" t="s">
        <v>44</v>
      </c>
    </row>
    <row r="581" spans="1:11" x14ac:dyDescent="0.25">
      <c r="A581" s="8" t="s">
        <v>80</v>
      </c>
      <c r="B581" s="9" t="s">
        <v>81</v>
      </c>
      <c r="C581" s="9" t="s">
        <v>49</v>
      </c>
      <c r="D581" s="9" t="s">
        <v>99</v>
      </c>
      <c r="E581" s="10">
        <v>2014</v>
      </c>
      <c r="F581" s="10">
        <v>2015</v>
      </c>
      <c r="G581" s="9" t="s">
        <v>50</v>
      </c>
      <c r="H581" s="11">
        <v>1050.69</v>
      </c>
      <c r="I581" s="11">
        <v>1050.69</v>
      </c>
      <c r="J581" s="9" t="s">
        <v>43</v>
      </c>
      <c r="K581" s="9" t="s">
        <v>44</v>
      </c>
    </row>
    <row r="582" spans="1:11" x14ac:dyDescent="0.25">
      <c r="A582" s="8" t="s">
        <v>82</v>
      </c>
      <c r="B582" s="9" t="s">
        <v>83</v>
      </c>
      <c r="C582" s="9" t="s">
        <v>40</v>
      </c>
      <c r="D582" s="9" t="s">
        <v>99</v>
      </c>
      <c r="E582" s="10">
        <v>2014</v>
      </c>
      <c r="F582" s="10">
        <v>2015</v>
      </c>
      <c r="G582" s="9" t="s">
        <v>42</v>
      </c>
      <c r="H582" s="11">
        <v>4471.8599999999997</v>
      </c>
      <c r="I582" s="11">
        <v>4471.8599999999997</v>
      </c>
      <c r="J582" s="9" t="s">
        <v>43</v>
      </c>
      <c r="K582" s="9" t="s">
        <v>44</v>
      </c>
    </row>
    <row r="583" spans="1:11" x14ac:dyDescent="0.25">
      <c r="A583" s="8" t="s">
        <v>82</v>
      </c>
      <c r="B583" s="9" t="s">
        <v>83</v>
      </c>
      <c r="C583" s="9" t="s">
        <v>40</v>
      </c>
      <c r="D583" s="9" t="s">
        <v>99</v>
      </c>
      <c r="E583" s="10">
        <v>2014</v>
      </c>
      <c r="F583" s="10">
        <v>2015</v>
      </c>
      <c r="G583" s="9" t="s">
        <v>45</v>
      </c>
      <c r="H583" s="11">
        <v>36.97</v>
      </c>
      <c r="I583" s="11">
        <v>36.97</v>
      </c>
      <c r="J583" s="9" t="s">
        <v>43</v>
      </c>
      <c r="K583" s="9" t="s">
        <v>44</v>
      </c>
    </row>
    <row r="584" spans="1:11" x14ac:dyDescent="0.25">
      <c r="A584" s="8" t="s">
        <v>82</v>
      </c>
      <c r="B584" s="9" t="s">
        <v>83</v>
      </c>
      <c r="C584" s="9" t="s">
        <v>40</v>
      </c>
      <c r="D584" s="9" t="s">
        <v>99</v>
      </c>
      <c r="E584" s="10">
        <v>2014</v>
      </c>
      <c r="F584" s="10">
        <v>2015</v>
      </c>
      <c r="G584" s="9" t="s">
        <v>46</v>
      </c>
      <c r="H584" s="11">
        <v>22045.81</v>
      </c>
      <c r="I584" s="11">
        <v>22045.81</v>
      </c>
      <c r="J584" s="9" t="s">
        <v>43</v>
      </c>
      <c r="K584" s="9" t="s">
        <v>44</v>
      </c>
    </row>
    <row r="585" spans="1:11" x14ac:dyDescent="0.25">
      <c r="A585" s="8" t="s">
        <v>82</v>
      </c>
      <c r="B585" s="9" t="s">
        <v>83</v>
      </c>
      <c r="C585" s="9" t="s">
        <v>40</v>
      </c>
      <c r="D585" s="9" t="s">
        <v>99</v>
      </c>
      <c r="E585" s="10">
        <v>2014</v>
      </c>
      <c r="F585" s="10">
        <v>2015</v>
      </c>
      <c r="G585" s="9" t="s">
        <v>50</v>
      </c>
      <c r="H585" s="11">
        <v>2.69</v>
      </c>
      <c r="I585" s="11">
        <v>2.69</v>
      </c>
      <c r="J585" s="9" t="s">
        <v>43</v>
      </c>
      <c r="K585" s="9" t="s">
        <v>44</v>
      </c>
    </row>
    <row r="586" spans="1:11" x14ac:dyDescent="0.25">
      <c r="A586" s="8" t="s">
        <v>84</v>
      </c>
      <c r="B586" s="9" t="s">
        <v>85</v>
      </c>
      <c r="C586" s="9" t="s">
        <v>85</v>
      </c>
      <c r="D586" s="9" t="s">
        <v>99</v>
      </c>
      <c r="E586" s="10">
        <v>2014</v>
      </c>
      <c r="F586" s="10">
        <v>2015</v>
      </c>
      <c r="G586" s="9" t="s">
        <v>42</v>
      </c>
      <c r="H586" s="11">
        <v>174166.67</v>
      </c>
      <c r="I586" s="11">
        <v>174166.67</v>
      </c>
      <c r="J586" s="9" t="s">
        <v>43</v>
      </c>
      <c r="K586" s="9" t="s">
        <v>44</v>
      </c>
    </row>
    <row r="587" spans="1:11" x14ac:dyDescent="0.25">
      <c r="A587" s="8" t="s">
        <v>84</v>
      </c>
      <c r="B587" s="9" t="s">
        <v>85</v>
      </c>
      <c r="C587" s="9" t="s">
        <v>85</v>
      </c>
      <c r="D587" s="9" t="s">
        <v>99</v>
      </c>
      <c r="E587" s="10">
        <v>2014</v>
      </c>
      <c r="F587" s="10">
        <v>2015</v>
      </c>
      <c r="G587" s="9" t="s">
        <v>45</v>
      </c>
      <c r="H587" s="11">
        <v>119.1</v>
      </c>
      <c r="I587" s="11">
        <v>119.1</v>
      </c>
      <c r="J587" s="9" t="s">
        <v>43</v>
      </c>
      <c r="K587" s="9" t="s">
        <v>44</v>
      </c>
    </row>
    <row r="588" spans="1:11" x14ac:dyDescent="0.25">
      <c r="A588" s="8" t="s">
        <v>84</v>
      </c>
      <c r="B588" s="9" t="s">
        <v>85</v>
      </c>
      <c r="C588" s="9" t="s">
        <v>85</v>
      </c>
      <c r="D588" s="9" t="s">
        <v>99</v>
      </c>
      <c r="E588" s="10">
        <v>2014</v>
      </c>
      <c r="F588" s="10">
        <v>2015</v>
      </c>
      <c r="G588" s="9" t="s">
        <v>46</v>
      </c>
      <c r="H588" s="11">
        <v>77169.86</v>
      </c>
      <c r="I588" s="11">
        <v>77169.86</v>
      </c>
      <c r="J588" s="9" t="s">
        <v>43</v>
      </c>
      <c r="K588" s="9" t="s">
        <v>44</v>
      </c>
    </row>
    <row r="589" spans="1:11" x14ac:dyDescent="0.25">
      <c r="A589" s="8" t="s">
        <v>84</v>
      </c>
      <c r="B589" s="9" t="s">
        <v>85</v>
      </c>
      <c r="C589" s="9" t="s">
        <v>85</v>
      </c>
      <c r="D589" s="9" t="s">
        <v>99</v>
      </c>
      <c r="E589" s="10">
        <v>2014</v>
      </c>
      <c r="F589" s="10">
        <v>2015</v>
      </c>
      <c r="G589" s="9" t="s">
        <v>50</v>
      </c>
      <c r="H589" s="11">
        <v>2754.01</v>
      </c>
      <c r="I589" s="11">
        <v>2754.01</v>
      </c>
      <c r="J589" s="9" t="s">
        <v>43</v>
      </c>
      <c r="K589" s="9" t="s">
        <v>44</v>
      </c>
    </row>
    <row r="590" spans="1:11" x14ac:dyDescent="0.25">
      <c r="A590" s="8" t="s">
        <v>86</v>
      </c>
      <c r="B590" s="9" t="s">
        <v>87</v>
      </c>
      <c r="C590" s="9" t="s">
        <v>69</v>
      </c>
      <c r="D590" s="9" t="s">
        <v>99</v>
      </c>
      <c r="E590" s="10">
        <v>2014</v>
      </c>
      <c r="F590" s="10">
        <v>2015</v>
      </c>
      <c r="G590" s="9" t="s">
        <v>42</v>
      </c>
      <c r="H590" s="11">
        <v>138396.07999999999</v>
      </c>
      <c r="I590" s="11">
        <v>138396.07999999999</v>
      </c>
      <c r="J590" s="9" t="s">
        <v>43</v>
      </c>
      <c r="K590" s="9" t="s">
        <v>44</v>
      </c>
    </row>
    <row r="591" spans="1:11" x14ac:dyDescent="0.25">
      <c r="A591" s="8" t="s">
        <v>86</v>
      </c>
      <c r="B591" s="9" t="s">
        <v>87</v>
      </c>
      <c r="C591" s="9" t="s">
        <v>69</v>
      </c>
      <c r="D591" s="9" t="s">
        <v>99</v>
      </c>
      <c r="E591" s="10">
        <v>2014</v>
      </c>
      <c r="F591" s="10">
        <v>2015</v>
      </c>
      <c r="G591" s="9" t="s">
        <v>45</v>
      </c>
      <c r="H591" s="11">
        <v>14.86</v>
      </c>
      <c r="I591" s="11">
        <v>14.86</v>
      </c>
      <c r="J591" s="9" t="s">
        <v>43</v>
      </c>
      <c r="K591" s="9" t="s">
        <v>44</v>
      </c>
    </row>
    <row r="592" spans="1:11" x14ac:dyDescent="0.25">
      <c r="A592" s="8" t="s">
        <v>86</v>
      </c>
      <c r="B592" s="9" t="s">
        <v>87</v>
      </c>
      <c r="C592" s="9" t="s">
        <v>69</v>
      </c>
      <c r="D592" s="9" t="s">
        <v>99</v>
      </c>
      <c r="E592" s="10">
        <v>2014</v>
      </c>
      <c r="F592" s="10">
        <v>2015</v>
      </c>
      <c r="G592" s="9" t="s">
        <v>46</v>
      </c>
      <c r="H592" s="11">
        <v>20899.07</v>
      </c>
      <c r="I592" s="11">
        <v>20899.07</v>
      </c>
      <c r="J592" s="9" t="s">
        <v>43</v>
      </c>
      <c r="K592" s="9" t="s">
        <v>44</v>
      </c>
    </row>
    <row r="593" spans="1:11" x14ac:dyDescent="0.25">
      <c r="A593" s="8" t="s">
        <v>86</v>
      </c>
      <c r="B593" s="9" t="s">
        <v>87</v>
      </c>
      <c r="C593" s="9" t="s">
        <v>69</v>
      </c>
      <c r="D593" s="9" t="s">
        <v>99</v>
      </c>
      <c r="E593" s="10">
        <v>2014</v>
      </c>
      <c r="F593" s="10">
        <v>2015</v>
      </c>
      <c r="G593" s="9" t="s">
        <v>50</v>
      </c>
      <c r="H593" s="11">
        <v>6126.77</v>
      </c>
      <c r="I593" s="11">
        <v>6126.77</v>
      </c>
      <c r="J593" s="9" t="s">
        <v>43</v>
      </c>
      <c r="K593" s="9" t="s">
        <v>44</v>
      </c>
    </row>
    <row r="594" spans="1:11" x14ac:dyDescent="0.25">
      <c r="A594" s="8" t="s">
        <v>38</v>
      </c>
      <c r="B594" s="9" t="s">
        <v>39</v>
      </c>
      <c r="C594" s="9" t="s">
        <v>40</v>
      </c>
      <c r="D594" s="9" t="s">
        <v>100</v>
      </c>
      <c r="E594" s="10">
        <v>2015</v>
      </c>
      <c r="F594" s="10">
        <v>2016</v>
      </c>
      <c r="G594" s="9" t="s">
        <v>42</v>
      </c>
      <c r="H594" s="11">
        <v>13877.01</v>
      </c>
      <c r="I594" s="11">
        <v>13877.01</v>
      </c>
      <c r="J594" s="9" t="s">
        <v>101</v>
      </c>
      <c r="K594" s="9" t="s">
        <v>44</v>
      </c>
    </row>
    <row r="595" spans="1:11" x14ac:dyDescent="0.25">
      <c r="A595" s="8" t="s">
        <v>38</v>
      </c>
      <c r="B595" s="9" t="s">
        <v>39</v>
      </c>
      <c r="C595" s="9" t="s">
        <v>40</v>
      </c>
      <c r="D595" s="9" t="s">
        <v>100</v>
      </c>
      <c r="E595" s="10">
        <v>2015</v>
      </c>
      <c r="F595" s="10">
        <v>2016</v>
      </c>
      <c r="G595" s="9" t="s">
        <v>45</v>
      </c>
      <c r="H595" s="11">
        <v>25.12</v>
      </c>
      <c r="I595" s="11">
        <v>25.12</v>
      </c>
      <c r="J595" s="9" t="s">
        <v>101</v>
      </c>
      <c r="K595" s="9" t="s">
        <v>44</v>
      </c>
    </row>
    <row r="596" spans="1:11" x14ac:dyDescent="0.25">
      <c r="A596" s="8" t="s">
        <v>38</v>
      </c>
      <c r="B596" s="9" t="s">
        <v>39</v>
      </c>
      <c r="C596" s="9" t="s">
        <v>40</v>
      </c>
      <c r="D596" s="9" t="s">
        <v>100</v>
      </c>
      <c r="E596" s="10">
        <v>2015</v>
      </c>
      <c r="F596" s="10">
        <v>2016</v>
      </c>
      <c r="G596" s="9" t="s">
        <v>46</v>
      </c>
      <c r="H596" s="11">
        <v>15790.14</v>
      </c>
      <c r="I596" s="11">
        <v>15790.14</v>
      </c>
      <c r="J596" s="9" t="s">
        <v>101</v>
      </c>
      <c r="K596" s="9" t="s">
        <v>44</v>
      </c>
    </row>
    <row r="597" spans="1:11" x14ac:dyDescent="0.25">
      <c r="A597" s="8" t="s">
        <v>47</v>
      </c>
      <c r="B597" s="9" t="s">
        <v>48</v>
      </c>
      <c r="C597" s="9" t="s">
        <v>49</v>
      </c>
      <c r="D597" s="9" t="s">
        <v>100</v>
      </c>
      <c r="E597" s="10">
        <v>2015</v>
      </c>
      <c r="F597" s="10">
        <v>2016</v>
      </c>
      <c r="G597" s="9" t="s">
        <v>42</v>
      </c>
      <c r="H597" s="11">
        <v>17913.93</v>
      </c>
      <c r="I597" s="11">
        <v>17913.93</v>
      </c>
      <c r="J597" s="9" t="s">
        <v>101</v>
      </c>
      <c r="K597" s="9" t="s">
        <v>44</v>
      </c>
    </row>
    <row r="598" spans="1:11" x14ac:dyDescent="0.25">
      <c r="A598" s="8" t="s">
        <v>47</v>
      </c>
      <c r="B598" s="9" t="s">
        <v>48</v>
      </c>
      <c r="C598" s="9" t="s">
        <v>49</v>
      </c>
      <c r="D598" s="9" t="s">
        <v>100</v>
      </c>
      <c r="E598" s="10">
        <v>2015</v>
      </c>
      <c r="F598" s="10">
        <v>2016</v>
      </c>
      <c r="G598" s="9" t="s">
        <v>45</v>
      </c>
      <c r="H598" s="11">
        <v>426.9</v>
      </c>
      <c r="I598" s="11">
        <v>426.9</v>
      </c>
      <c r="J598" s="9" t="s">
        <v>101</v>
      </c>
      <c r="K598" s="9" t="s">
        <v>44</v>
      </c>
    </row>
    <row r="599" spans="1:11" x14ac:dyDescent="0.25">
      <c r="A599" s="8" t="s">
        <v>47</v>
      </c>
      <c r="B599" s="9" t="s">
        <v>48</v>
      </c>
      <c r="C599" s="9" t="s">
        <v>49</v>
      </c>
      <c r="D599" s="9" t="s">
        <v>100</v>
      </c>
      <c r="E599" s="10">
        <v>2015</v>
      </c>
      <c r="F599" s="10">
        <v>2016</v>
      </c>
      <c r="G599" s="9" t="s">
        <v>46</v>
      </c>
      <c r="H599" s="11">
        <v>34734.239999999998</v>
      </c>
      <c r="I599" s="11">
        <v>34734.239999999998</v>
      </c>
      <c r="J599" s="9" t="s">
        <v>101</v>
      </c>
      <c r="K599" s="9" t="s">
        <v>44</v>
      </c>
    </row>
    <row r="600" spans="1:11" x14ac:dyDescent="0.25">
      <c r="A600" s="8" t="s">
        <v>47</v>
      </c>
      <c r="B600" s="9" t="s">
        <v>48</v>
      </c>
      <c r="C600" s="9" t="s">
        <v>49</v>
      </c>
      <c r="D600" s="9" t="s">
        <v>100</v>
      </c>
      <c r="E600" s="10">
        <v>2015</v>
      </c>
      <c r="F600" s="10">
        <v>2016</v>
      </c>
      <c r="G600" s="9" t="s">
        <v>50</v>
      </c>
      <c r="H600" s="11">
        <v>320.33</v>
      </c>
      <c r="I600" s="11">
        <v>320.33</v>
      </c>
      <c r="J600" s="9" t="s">
        <v>101</v>
      </c>
      <c r="K600" s="9" t="s">
        <v>44</v>
      </c>
    </row>
    <row r="601" spans="1:11" x14ac:dyDescent="0.25">
      <c r="A601" s="8" t="s">
        <v>51</v>
      </c>
      <c r="B601" s="9" t="s">
        <v>52</v>
      </c>
      <c r="C601" s="9" t="s">
        <v>53</v>
      </c>
      <c r="D601" s="9" t="s">
        <v>100</v>
      </c>
      <c r="E601" s="10">
        <v>2015</v>
      </c>
      <c r="F601" s="10">
        <v>2016</v>
      </c>
      <c r="G601" s="9" t="s">
        <v>42</v>
      </c>
      <c r="H601" s="11">
        <v>676.41</v>
      </c>
      <c r="I601" s="11">
        <v>676.41</v>
      </c>
      <c r="J601" s="9" t="s">
        <v>101</v>
      </c>
      <c r="K601" s="9" t="s">
        <v>44</v>
      </c>
    </row>
    <row r="602" spans="1:11" x14ac:dyDescent="0.25">
      <c r="A602" s="8" t="s">
        <v>51</v>
      </c>
      <c r="B602" s="9" t="s">
        <v>52</v>
      </c>
      <c r="C602" s="9" t="s">
        <v>53</v>
      </c>
      <c r="D602" s="9" t="s">
        <v>100</v>
      </c>
      <c r="E602" s="10">
        <v>2015</v>
      </c>
      <c r="F602" s="10">
        <v>2016</v>
      </c>
      <c r="G602" s="9" t="s">
        <v>45</v>
      </c>
      <c r="H602" s="11">
        <v>3.76</v>
      </c>
      <c r="I602" s="11">
        <v>3.76</v>
      </c>
      <c r="J602" s="9" t="s">
        <v>101</v>
      </c>
      <c r="K602" s="9" t="s">
        <v>44</v>
      </c>
    </row>
    <row r="603" spans="1:11" x14ac:dyDescent="0.25">
      <c r="A603" s="8" t="s">
        <v>51</v>
      </c>
      <c r="B603" s="9" t="s">
        <v>52</v>
      </c>
      <c r="C603" s="9" t="s">
        <v>53</v>
      </c>
      <c r="D603" s="9" t="s">
        <v>100</v>
      </c>
      <c r="E603" s="10">
        <v>2015</v>
      </c>
      <c r="F603" s="10">
        <v>2016</v>
      </c>
      <c r="G603" s="9" t="s">
        <v>46</v>
      </c>
      <c r="H603" s="11">
        <v>73516.44</v>
      </c>
      <c r="I603" s="11">
        <v>73516.44</v>
      </c>
      <c r="J603" s="9" t="s">
        <v>101</v>
      </c>
      <c r="K603" s="9" t="s">
        <v>44</v>
      </c>
    </row>
    <row r="604" spans="1:11" x14ac:dyDescent="0.25">
      <c r="A604" s="8" t="s">
        <v>51</v>
      </c>
      <c r="B604" s="9" t="s">
        <v>52</v>
      </c>
      <c r="C604" s="9" t="s">
        <v>53</v>
      </c>
      <c r="D604" s="9" t="s">
        <v>100</v>
      </c>
      <c r="E604" s="10">
        <v>2015</v>
      </c>
      <c r="F604" s="10">
        <v>2016</v>
      </c>
      <c r="G604" s="9" t="s">
        <v>50</v>
      </c>
      <c r="H604" s="11">
        <v>0.06</v>
      </c>
      <c r="I604" s="11">
        <v>0.06</v>
      </c>
      <c r="J604" s="9" t="s">
        <v>101</v>
      </c>
      <c r="K604" s="9" t="s">
        <v>44</v>
      </c>
    </row>
    <row r="605" spans="1:11" x14ac:dyDescent="0.25">
      <c r="A605" s="8" t="s">
        <v>54</v>
      </c>
      <c r="B605" s="9" t="s">
        <v>55</v>
      </c>
      <c r="C605" s="9" t="s">
        <v>49</v>
      </c>
      <c r="D605" s="9" t="s">
        <v>100</v>
      </c>
      <c r="E605" s="10">
        <v>2015</v>
      </c>
      <c r="F605" s="10">
        <v>2016</v>
      </c>
      <c r="G605" s="9" t="s">
        <v>42</v>
      </c>
      <c r="H605" s="11">
        <v>4863.1000000000004</v>
      </c>
      <c r="I605" s="11">
        <v>4863.1000000000004</v>
      </c>
      <c r="J605" s="9" t="s">
        <v>101</v>
      </c>
      <c r="K605" s="9" t="s">
        <v>44</v>
      </c>
    </row>
    <row r="606" spans="1:11" x14ac:dyDescent="0.25">
      <c r="A606" s="8" t="s">
        <v>54</v>
      </c>
      <c r="B606" s="9" t="s">
        <v>55</v>
      </c>
      <c r="C606" s="9" t="s">
        <v>49</v>
      </c>
      <c r="D606" s="9" t="s">
        <v>100</v>
      </c>
      <c r="E606" s="10">
        <v>2015</v>
      </c>
      <c r="F606" s="10">
        <v>2016</v>
      </c>
      <c r="G606" s="9" t="s">
        <v>45</v>
      </c>
      <c r="H606" s="11">
        <v>291.45999999999998</v>
      </c>
      <c r="I606" s="11">
        <v>291.45999999999998</v>
      </c>
      <c r="J606" s="9" t="s">
        <v>101</v>
      </c>
      <c r="K606" s="9" t="s">
        <v>44</v>
      </c>
    </row>
    <row r="607" spans="1:11" x14ac:dyDescent="0.25">
      <c r="A607" s="8" t="s">
        <v>54</v>
      </c>
      <c r="B607" s="9" t="s">
        <v>55</v>
      </c>
      <c r="C607" s="9" t="s">
        <v>49</v>
      </c>
      <c r="D607" s="9" t="s">
        <v>100</v>
      </c>
      <c r="E607" s="10">
        <v>2015</v>
      </c>
      <c r="F607" s="10">
        <v>2016</v>
      </c>
      <c r="G607" s="9" t="s">
        <v>46</v>
      </c>
      <c r="H607" s="11">
        <v>32957.29</v>
      </c>
      <c r="I607" s="11">
        <v>32957.29</v>
      </c>
      <c r="J607" s="9" t="s">
        <v>101</v>
      </c>
      <c r="K607" s="9" t="s">
        <v>44</v>
      </c>
    </row>
    <row r="608" spans="1:11" x14ac:dyDescent="0.25">
      <c r="A608" s="8" t="s">
        <v>54</v>
      </c>
      <c r="B608" s="9" t="s">
        <v>55</v>
      </c>
      <c r="C608" s="9" t="s">
        <v>49</v>
      </c>
      <c r="D608" s="9" t="s">
        <v>100</v>
      </c>
      <c r="E608" s="10">
        <v>2015</v>
      </c>
      <c r="F608" s="10">
        <v>2016</v>
      </c>
      <c r="G608" s="9" t="s">
        <v>50</v>
      </c>
      <c r="H608" s="11">
        <v>343.97</v>
      </c>
      <c r="I608" s="11">
        <v>343.97</v>
      </c>
      <c r="J608" s="9" t="s">
        <v>101</v>
      </c>
      <c r="K608" s="9" t="s">
        <v>44</v>
      </c>
    </row>
    <row r="609" spans="1:11" x14ac:dyDescent="0.25">
      <c r="A609" s="8" t="s">
        <v>56</v>
      </c>
      <c r="B609" s="9" t="s">
        <v>57</v>
      </c>
      <c r="C609" s="9" t="s">
        <v>40</v>
      </c>
      <c r="D609" s="9" t="s">
        <v>100</v>
      </c>
      <c r="E609" s="10">
        <v>2015</v>
      </c>
      <c r="F609" s="10">
        <v>2016</v>
      </c>
      <c r="G609" s="9" t="s">
        <v>42</v>
      </c>
      <c r="H609" s="11">
        <v>12836.35</v>
      </c>
      <c r="I609" s="11">
        <v>12836.35</v>
      </c>
      <c r="J609" s="9" t="s">
        <v>101</v>
      </c>
      <c r="K609" s="9" t="s">
        <v>44</v>
      </c>
    </row>
    <row r="610" spans="1:11" x14ac:dyDescent="0.25">
      <c r="A610" s="8" t="s">
        <v>56</v>
      </c>
      <c r="B610" s="9" t="s">
        <v>57</v>
      </c>
      <c r="C610" s="9" t="s">
        <v>40</v>
      </c>
      <c r="D610" s="9" t="s">
        <v>100</v>
      </c>
      <c r="E610" s="10">
        <v>2015</v>
      </c>
      <c r="F610" s="10">
        <v>2016</v>
      </c>
      <c r="G610" s="9" t="s">
        <v>45</v>
      </c>
      <c r="H610" s="11">
        <v>22.72</v>
      </c>
      <c r="I610" s="11">
        <v>22.72</v>
      </c>
      <c r="J610" s="9" t="s">
        <v>101</v>
      </c>
      <c r="K610" s="9" t="s">
        <v>44</v>
      </c>
    </row>
    <row r="611" spans="1:11" x14ac:dyDescent="0.25">
      <c r="A611" s="8" t="s">
        <v>56</v>
      </c>
      <c r="B611" s="9" t="s">
        <v>57</v>
      </c>
      <c r="C611" s="9" t="s">
        <v>40</v>
      </c>
      <c r="D611" s="9" t="s">
        <v>100</v>
      </c>
      <c r="E611" s="10">
        <v>2015</v>
      </c>
      <c r="F611" s="10">
        <v>2016</v>
      </c>
      <c r="G611" s="9" t="s">
        <v>46</v>
      </c>
      <c r="H611" s="11">
        <v>23580.77</v>
      </c>
      <c r="I611" s="11">
        <v>23580.77</v>
      </c>
      <c r="J611" s="9" t="s">
        <v>101</v>
      </c>
      <c r="K611" s="9" t="s">
        <v>44</v>
      </c>
    </row>
    <row r="612" spans="1:11" x14ac:dyDescent="0.25">
      <c r="A612" s="8" t="s">
        <v>56</v>
      </c>
      <c r="B612" s="9" t="s">
        <v>57</v>
      </c>
      <c r="C612" s="9" t="s">
        <v>40</v>
      </c>
      <c r="D612" s="9" t="s">
        <v>100</v>
      </c>
      <c r="E612" s="10">
        <v>2015</v>
      </c>
      <c r="F612" s="10">
        <v>2016</v>
      </c>
      <c r="G612" s="9" t="s">
        <v>50</v>
      </c>
      <c r="H612" s="11">
        <v>35.81</v>
      </c>
      <c r="I612" s="11">
        <v>35.81</v>
      </c>
      <c r="J612" s="9" t="s">
        <v>101</v>
      </c>
      <c r="K612" s="9" t="s">
        <v>44</v>
      </c>
    </row>
    <row r="613" spans="1:11" x14ac:dyDescent="0.25">
      <c r="A613" s="8" t="s">
        <v>58</v>
      </c>
      <c r="B613" s="9" t="s">
        <v>59</v>
      </c>
      <c r="C613" s="9" t="s">
        <v>49</v>
      </c>
      <c r="D613" s="9" t="s">
        <v>100</v>
      </c>
      <c r="E613" s="10">
        <v>2015</v>
      </c>
      <c r="F613" s="10">
        <v>2016</v>
      </c>
      <c r="G613" s="9" t="s">
        <v>42</v>
      </c>
      <c r="H613" s="11">
        <v>19148.509999999998</v>
      </c>
      <c r="I613" s="11">
        <v>19148.509999999998</v>
      </c>
      <c r="J613" s="9" t="s">
        <v>101</v>
      </c>
      <c r="K613" s="9" t="s">
        <v>44</v>
      </c>
    </row>
    <row r="614" spans="1:11" x14ac:dyDescent="0.25">
      <c r="A614" s="8" t="s">
        <v>58</v>
      </c>
      <c r="B614" s="9" t="s">
        <v>59</v>
      </c>
      <c r="C614" s="9" t="s">
        <v>49</v>
      </c>
      <c r="D614" s="9" t="s">
        <v>100</v>
      </c>
      <c r="E614" s="10">
        <v>2015</v>
      </c>
      <c r="F614" s="10">
        <v>2016</v>
      </c>
      <c r="G614" s="9" t="s">
        <v>45</v>
      </c>
      <c r="H614" s="11">
        <v>393.27</v>
      </c>
      <c r="I614" s="11">
        <v>393.27</v>
      </c>
      <c r="J614" s="9" t="s">
        <v>101</v>
      </c>
      <c r="K614" s="9" t="s">
        <v>44</v>
      </c>
    </row>
    <row r="615" spans="1:11" x14ac:dyDescent="0.25">
      <c r="A615" s="8" t="s">
        <v>58</v>
      </c>
      <c r="B615" s="9" t="s">
        <v>59</v>
      </c>
      <c r="C615" s="9" t="s">
        <v>49</v>
      </c>
      <c r="D615" s="9" t="s">
        <v>100</v>
      </c>
      <c r="E615" s="10">
        <v>2015</v>
      </c>
      <c r="F615" s="10">
        <v>2016</v>
      </c>
      <c r="G615" s="9" t="s">
        <v>46</v>
      </c>
      <c r="H615" s="11">
        <v>49882.09</v>
      </c>
      <c r="I615" s="11">
        <v>49882.09</v>
      </c>
      <c r="J615" s="9" t="s">
        <v>101</v>
      </c>
      <c r="K615" s="9" t="s">
        <v>44</v>
      </c>
    </row>
    <row r="616" spans="1:11" x14ac:dyDescent="0.25">
      <c r="A616" s="8" t="s">
        <v>58</v>
      </c>
      <c r="B616" s="9" t="s">
        <v>59</v>
      </c>
      <c r="C616" s="9" t="s">
        <v>49</v>
      </c>
      <c r="D616" s="9" t="s">
        <v>100</v>
      </c>
      <c r="E616" s="10">
        <v>2015</v>
      </c>
      <c r="F616" s="10">
        <v>2016</v>
      </c>
      <c r="G616" s="9" t="s">
        <v>50</v>
      </c>
      <c r="H616" s="11">
        <v>1203.54</v>
      </c>
      <c r="I616" s="11">
        <v>1203.54</v>
      </c>
      <c r="J616" s="9" t="s">
        <v>101</v>
      </c>
      <c r="K616" s="9" t="s">
        <v>44</v>
      </c>
    </row>
    <row r="617" spans="1:11" x14ac:dyDescent="0.25">
      <c r="A617" s="8" t="s">
        <v>60</v>
      </c>
      <c r="B617" s="9" t="s">
        <v>61</v>
      </c>
      <c r="C617" s="9" t="s">
        <v>40</v>
      </c>
      <c r="D617" s="9" t="s">
        <v>100</v>
      </c>
      <c r="E617" s="10">
        <v>2015</v>
      </c>
      <c r="F617" s="10">
        <v>2016</v>
      </c>
      <c r="G617" s="9" t="s">
        <v>42</v>
      </c>
      <c r="H617" s="11">
        <v>121485.74</v>
      </c>
      <c r="I617" s="11">
        <v>121485.74</v>
      </c>
      <c r="J617" s="9" t="s">
        <v>101</v>
      </c>
      <c r="K617" s="9" t="s">
        <v>44</v>
      </c>
    </row>
    <row r="618" spans="1:11" x14ac:dyDescent="0.25">
      <c r="A618" s="8" t="s">
        <v>60</v>
      </c>
      <c r="B618" s="9" t="s">
        <v>61</v>
      </c>
      <c r="C618" s="9" t="s">
        <v>40</v>
      </c>
      <c r="D618" s="9" t="s">
        <v>100</v>
      </c>
      <c r="E618" s="10">
        <v>2015</v>
      </c>
      <c r="F618" s="10">
        <v>2016</v>
      </c>
      <c r="G618" s="9" t="s">
        <v>45</v>
      </c>
      <c r="H618" s="11">
        <v>250.37</v>
      </c>
      <c r="I618" s="11">
        <v>250.37</v>
      </c>
      <c r="J618" s="9" t="s">
        <v>101</v>
      </c>
      <c r="K618" s="9" t="s">
        <v>44</v>
      </c>
    </row>
    <row r="619" spans="1:11" x14ac:dyDescent="0.25">
      <c r="A619" s="8" t="s">
        <v>60</v>
      </c>
      <c r="B619" s="9" t="s">
        <v>61</v>
      </c>
      <c r="C619" s="9" t="s">
        <v>40</v>
      </c>
      <c r="D619" s="9" t="s">
        <v>100</v>
      </c>
      <c r="E619" s="10">
        <v>2015</v>
      </c>
      <c r="F619" s="10">
        <v>2016</v>
      </c>
      <c r="G619" s="9" t="s">
        <v>46</v>
      </c>
      <c r="H619" s="11">
        <v>50699.43</v>
      </c>
      <c r="I619" s="11">
        <v>50699.43</v>
      </c>
      <c r="J619" s="9" t="s">
        <v>101</v>
      </c>
      <c r="K619" s="9" t="s">
        <v>44</v>
      </c>
    </row>
    <row r="620" spans="1:11" x14ac:dyDescent="0.25">
      <c r="A620" s="8" t="s">
        <v>60</v>
      </c>
      <c r="B620" s="9" t="s">
        <v>61</v>
      </c>
      <c r="C620" s="9" t="s">
        <v>40</v>
      </c>
      <c r="D620" s="9" t="s">
        <v>100</v>
      </c>
      <c r="E620" s="10">
        <v>2015</v>
      </c>
      <c r="F620" s="10">
        <v>2016</v>
      </c>
      <c r="G620" s="9" t="s">
        <v>50</v>
      </c>
      <c r="H620" s="11">
        <v>22787.22</v>
      </c>
      <c r="I620" s="11">
        <v>22787.22</v>
      </c>
      <c r="J620" s="9" t="s">
        <v>101</v>
      </c>
      <c r="K620" s="9" t="s">
        <v>44</v>
      </c>
    </row>
    <row r="621" spans="1:11" x14ac:dyDescent="0.25">
      <c r="A621" s="8" t="s">
        <v>62</v>
      </c>
      <c r="B621" s="9" t="s">
        <v>63</v>
      </c>
      <c r="C621" s="9" t="s">
        <v>40</v>
      </c>
      <c r="D621" s="9" t="s">
        <v>100</v>
      </c>
      <c r="E621" s="10">
        <v>2015</v>
      </c>
      <c r="F621" s="10">
        <v>2016</v>
      </c>
      <c r="G621" s="9" t="s">
        <v>42</v>
      </c>
      <c r="H621" s="11">
        <v>87856.91</v>
      </c>
      <c r="I621" s="11">
        <v>87856.91</v>
      </c>
      <c r="J621" s="9" t="s">
        <v>101</v>
      </c>
      <c r="K621" s="9" t="s">
        <v>44</v>
      </c>
    </row>
    <row r="622" spans="1:11" x14ac:dyDescent="0.25">
      <c r="A622" s="8" t="s">
        <v>62</v>
      </c>
      <c r="B622" s="9" t="s">
        <v>63</v>
      </c>
      <c r="C622" s="9" t="s">
        <v>40</v>
      </c>
      <c r="D622" s="9" t="s">
        <v>100</v>
      </c>
      <c r="E622" s="10">
        <v>2015</v>
      </c>
      <c r="F622" s="10">
        <v>2016</v>
      </c>
      <c r="G622" s="9" t="s">
        <v>45</v>
      </c>
      <c r="H622" s="11">
        <v>188.87</v>
      </c>
      <c r="I622" s="11">
        <v>188.87</v>
      </c>
      <c r="J622" s="9" t="s">
        <v>101</v>
      </c>
      <c r="K622" s="9" t="s">
        <v>44</v>
      </c>
    </row>
    <row r="623" spans="1:11" x14ac:dyDescent="0.25">
      <c r="A623" s="8" t="s">
        <v>62</v>
      </c>
      <c r="B623" s="9" t="s">
        <v>63</v>
      </c>
      <c r="C623" s="9" t="s">
        <v>40</v>
      </c>
      <c r="D623" s="9" t="s">
        <v>100</v>
      </c>
      <c r="E623" s="10">
        <v>2015</v>
      </c>
      <c r="F623" s="10">
        <v>2016</v>
      </c>
      <c r="G623" s="9" t="s">
        <v>46</v>
      </c>
      <c r="H623" s="11">
        <v>43790.43</v>
      </c>
      <c r="I623" s="11">
        <v>43790.43</v>
      </c>
      <c r="J623" s="9" t="s">
        <v>101</v>
      </c>
      <c r="K623" s="9" t="s">
        <v>44</v>
      </c>
    </row>
    <row r="624" spans="1:11" x14ac:dyDescent="0.25">
      <c r="A624" s="8" t="s">
        <v>62</v>
      </c>
      <c r="B624" s="9" t="s">
        <v>63</v>
      </c>
      <c r="C624" s="9" t="s">
        <v>40</v>
      </c>
      <c r="D624" s="9" t="s">
        <v>100</v>
      </c>
      <c r="E624" s="10">
        <v>2015</v>
      </c>
      <c r="F624" s="10">
        <v>2016</v>
      </c>
      <c r="G624" s="9" t="s">
        <v>50</v>
      </c>
      <c r="H624" s="11">
        <v>6609.38</v>
      </c>
      <c r="I624" s="11">
        <v>6609.38</v>
      </c>
      <c r="J624" s="9" t="s">
        <v>101</v>
      </c>
      <c r="K624" s="9" t="s">
        <v>44</v>
      </c>
    </row>
    <row r="625" spans="1:11" x14ac:dyDescent="0.25">
      <c r="A625" s="8" t="s">
        <v>65</v>
      </c>
      <c r="B625" s="9" t="s">
        <v>66</v>
      </c>
      <c r="C625" s="9" t="s">
        <v>40</v>
      </c>
      <c r="D625" s="9" t="s">
        <v>100</v>
      </c>
      <c r="E625" s="10">
        <v>2015</v>
      </c>
      <c r="F625" s="10">
        <v>2016</v>
      </c>
      <c r="G625" s="9" t="s">
        <v>42</v>
      </c>
      <c r="H625" s="11">
        <v>1593.41</v>
      </c>
      <c r="I625" s="11">
        <v>1593.41</v>
      </c>
      <c r="J625" s="9" t="s">
        <v>101</v>
      </c>
      <c r="K625" s="9" t="s">
        <v>44</v>
      </c>
    </row>
    <row r="626" spans="1:11" x14ac:dyDescent="0.25">
      <c r="A626" s="8" t="s">
        <v>65</v>
      </c>
      <c r="B626" s="9" t="s">
        <v>66</v>
      </c>
      <c r="C626" s="9" t="s">
        <v>40</v>
      </c>
      <c r="D626" s="9" t="s">
        <v>100</v>
      </c>
      <c r="E626" s="10">
        <v>2015</v>
      </c>
      <c r="F626" s="10">
        <v>2016</v>
      </c>
      <c r="G626" s="9" t="s">
        <v>45</v>
      </c>
      <c r="H626" s="11">
        <v>2.77</v>
      </c>
      <c r="I626" s="11">
        <v>2.77</v>
      </c>
      <c r="J626" s="9" t="s">
        <v>101</v>
      </c>
      <c r="K626" s="9" t="s">
        <v>44</v>
      </c>
    </row>
    <row r="627" spans="1:11" x14ac:dyDescent="0.25">
      <c r="A627" s="8" t="s">
        <v>65</v>
      </c>
      <c r="B627" s="9" t="s">
        <v>66</v>
      </c>
      <c r="C627" s="9" t="s">
        <v>40</v>
      </c>
      <c r="D627" s="9" t="s">
        <v>100</v>
      </c>
      <c r="E627" s="10">
        <v>2015</v>
      </c>
      <c r="F627" s="10">
        <v>2016</v>
      </c>
      <c r="G627" s="9" t="s">
        <v>46</v>
      </c>
      <c r="H627" s="11">
        <v>7742.03</v>
      </c>
      <c r="I627" s="11">
        <v>7742.03</v>
      </c>
      <c r="J627" s="9" t="s">
        <v>101</v>
      </c>
      <c r="K627" s="9" t="s">
        <v>44</v>
      </c>
    </row>
    <row r="628" spans="1:11" x14ac:dyDescent="0.25">
      <c r="A628" s="8" t="s">
        <v>67</v>
      </c>
      <c r="B628" s="9" t="s">
        <v>68</v>
      </c>
      <c r="C628" s="9" t="s">
        <v>69</v>
      </c>
      <c r="D628" s="9" t="s">
        <v>100</v>
      </c>
      <c r="E628" s="10">
        <v>2015</v>
      </c>
      <c r="F628" s="10">
        <v>2016</v>
      </c>
      <c r="G628" s="9" t="s">
        <v>42</v>
      </c>
      <c r="H628" s="11">
        <v>69564.38</v>
      </c>
      <c r="I628" s="11">
        <v>69564.38</v>
      </c>
      <c r="J628" s="9" t="s">
        <v>101</v>
      </c>
      <c r="K628" s="9" t="s">
        <v>44</v>
      </c>
    </row>
    <row r="629" spans="1:11" x14ac:dyDescent="0.25">
      <c r="A629" s="8" t="s">
        <v>67</v>
      </c>
      <c r="B629" s="9" t="s">
        <v>68</v>
      </c>
      <c r="C629" s="9" t="s">
        <v>69</v>
      </c>
      <c r="D629" s="9" t="s">
        <v>100</v>
      </c>
      <c r="E629" s="10">
        <v>2015</v>
      </c>
      <c r="F629" s="10">
        <v>2016</v>
      </c>
      <c r="G629" s="9" t="s">
        <v>45</v>
      </c>
      <c r="H629" s="11">
        <v>122.77</v>
      </c>
      <c r="I629" s="11">
        <v>122.77</v>
      </c>
      <c r="J629" s="9" t="s">
        <v>101</v>
      </c>
      <c r="K629" s="9" t="s">
        <v>44</v>
      </c>
    </row>
    <row r="630" spans="1:11" x14ac:dyDescent="0.25">
      <c r="A630" s="8" t="s">
        <v>67</v>
      </c>
      <c r="B630" s="9" t="s">
        <v>68</v>
      </c>
      <c r="C630" s="9" t="s">
        <v>69</v>
      </c>
      <c r="D630" s="9" t="s">
        <v>100</v>
      </c>
      <c r="E630" s="10">
        <v>2015</v>
      </c>
      <c r="F630" s="10">
        <v>2016</v>
      </c>
      <c r="G630" s="9" t="s">
        <v>46</v>
      </c>
      <c r="H630" s="11">
        <v>22605.74</v>
      </c>
      <c r="I630" s="11">
        <v>22605.74</v>
      </c>
      <c r="J630" s="9" t="s">
        <v>101</v>
      </c>
      <c r="K630" s="9" t="s">
        <v>44</v>
      </c>
    </row>
    <row r="631" spans="1:11" x14ac:dyDescent="0.25">
      <c r="A631" s="8" t="s">
        <v>67</v>
      </c>
      <c r="B631" s="9" t="s">
        <v>68</v>
      </c>
      <c r="C631" s="9" t="s">
        <v>69</v>
      </c>
      <c r="D631" s="9" t="s">
        <v>100</v>
      </c>
      <c r="E631" s="10">
        <v>2015</v>
      </c>
      <c r="F631" s="10">
        <v>2016</v>
      </c>
      <c r="G631" s="9" t="s">
        <v>50</v>
      </c>
      <c r="H631" s="11">
        <v>32915.67</v>
      </c>
      <c r="I631" s="11">
        <v>32915.67</v>
      </c>
      <c r="J631" s="9" t="s">
        <v>101</v>
      </c>
      <c r="K631" s="9" t="s">
        <v>44</v>
      </c>
    </row>
    <row r="632" spans="1:11" x14ac:dyDescent="0.25">
      <c r="A632" s="8" t="s">
        <v>70</v>
      </c>
      <c r="B632" s="9" t="s">
        <v>71</v>
      </c>
      <c r="C632" s="9" t="s">
        <v>49</v>
      </c>
      <c r="D632" s="9" t="s">
        <v>100</v>
      </c>
      <c r="E632" s="10">
        <v>2015</v>
      </c>
      <c r="F632" s="10">
        <v>2016</v>
      </c>
      <c r="G632" s="9" t="s">
        <v>42</v>
      </c>
      <c r="H632" s="11">
        <v>63004.639999999999</v>
      </c>
      <c r="I632" s="11">
        <v>63004.639999999999</v>
      </c>
      <c r="J632" s="9" t="s">
        <v>101</v>
      </c>
      <c r="K632" s="9" t="s">
        <v>44</v>
      </c>
    </row>
    <row r="633" spans="1:11" x14ac:dyDescent="0.25">
      <c r="A633" s="8" t="s">
        <v>70</v>
      </c>
      <c r="B633" s="9" t="s">
        <v>71</v>
      </c>
      <c r="C633" s="9" t="s">
        <v>49</v>
      </c>
      <c r="D633" s="9" t="s">
        <v>100</v>
      </c>
      <c r="E633" s="10">
        <v>2015</v>
      </c>
      <c r="F633" s="10">
        <v>2016</v>
      </c>
      <c r="G633" s="9" t="s">
        <v>45</v>
      </c>
      <c r="H633" s="11">
        <v>360.19</v>
      </c>
      <c r="I633" s="11">
        <v>360.19</v>
      </c>
      <c r="J633" s="9" t="s">
        <v>101</v>
      </c>
      <c r="K633" s="9" t="s">
        <v>44</v>
      </c>
    </row>
    <row r="634" spans="1:11" x14ac:dyDescent="0.25">
      <c r="A634" s="8" t="s">
        <v>70</v>
      </c>
      <c r="B634" s="9" t="s">
        <v>71</v>
      </c>
      <c r="C634" s="9" t="s">
        <v>49</v>
      </c>
      <c r="D634" s="9" t="s">
        <v>100</v>
      </c>
      <c r="E634" s="10">
        <v>2015</v>
      </c>
      <c r="F634" s="10">
        <v>2016</v>
      </c>
      <c r="G634" s="9" t="s">
        <v>46</v>
      </c>
      <c r="H634" s="11">
        <v>36702.86</v>
      </c>
      <c r="I634" s="11">
        <v>36702.86</v>
      </c>
      <c r="J634" s="9" t="s">
        <v>101</v>
      </c>
      <c r="K634" s="9" t="s">
        <v>44</v>
      </c>
    </row>
    <row r="635" spans="1:11" x14ac:dyDescent="0.25">
      <c r="A635" s="8" t="s">
        <v>70</v>
      </c>
      <c r="B635" s="9" t="s">
        <v>71</v>
      </c>
      <c r="C635" s="9" t="s">
        <v>49</v>
      </c>
      <c r="D635" s="9" t="s">
        <v>100</v>
      </c>
      <c r="E635" s="10">
        <v>2015</v>
      </c>
      <c r="F635" s="10">
        <v>2016</v>
      </c>
      <c r="G635" s="9" t="s">
        <v>50</v>
      </c>
      <c r="H635" s="11">
        <v>6022.22</v>
      </c>
      <c r="I635" s="11">
        <v>6022.22</v>
      </c>
      <c r="J635" s="9" t="s">
        <v>101</v>
      </c>
      <c r="K635" s="9" t="s">
        <v>44</v>
      </c>
    </row>
    <row r="636" spans="1:11" x14ac:dyDescent="0.25">
      <c r="A636" s="8" t="s">
        <v>72</v>
      </c>
      <c r="B636" s="9" t="s">
        <v>73</v>
      </c>
      <c r="C636" s="9" t="s">
        <v>53</v>
      </c>
      <c r="D636" s="9" t="s">
        <v>100</v>
      </c>
      <c r="E636" s="10">
        <v>2015</v>
      </c>
      <c r="F636" s="10">
        <v>2016</v>
      </c>
      <c r="G636" s="9" t="s">
        <v>42</v>
      </c>
      <c r="H636" s="11">
        <v>14223.82</v>
      </c>
      <c r="I636" s="11">
        <v>14223.82</v>
      </c>
      <c r="J636" s="9" t="s">
        <v>101</v>
      </c>
      <c r="K636" s="9" t="s">
        <v>44</v>
      </c>
    </row>
    <row r="637" spans="1:11" x14ac:dyDescent="0.25">
      <c r="A637" s="8" t="s">
        <v>72</v>
      </c>
      <c r="B637" s="9" t="s">
        <v>73</v>
      </c>
      <c r="C637" s="9" t="s">
        <v>53</v>
      </c>
      <c r="D637" s="9" t="s">
        <v>100</v>
      </c>
      <c r="E637" s="10">
        <v>2015</v>
      </c>
      <c r="F637" s="10">
        <v>2016</v>
      </c>
      <c r="G637" s="9" t="s">
        <v>45</v>
      </c>
      <c r="H637" s="11">
        <v>56.97</v>
      </c>
      <c r="I637" s="11">
        <v>56.97</v>
      </c>
      <c r="J637" s="9" t="s">
        <v>101</v>
      </c>
      <c r="K637" s="9" t="s">
        <v>44</v>
      </c>
    </row>
    <row r="638" spans="1:11" x14ac:dyDescent="0.25">
      <c r="A638" s="8" t="s">
        <v>72</v>
      </c>
      <c r="B638" s="9" t="s">
        <v>73</v>
      </c>
      <c r="C638" s="9" t="s">
        <v>53</v>
      </c>
      <c r="D638" s="9" t="s">
        <v>100</v>
      </c>
      <c r="E638" s="10">
        <v>2015</v>
      </c>
      <c r="F638" s="10">
        <v>2016</v>
      </c>
      <c r="G638" s="9" t="s">
        <v>46</v>
      </c>
      <c r="H638" s="11">
        <v>111033.96</v>
      </c>
      <c r="I638" s="11">
        <v>111033.96</v>
      </c>
      <c r="J638" s="9" t="s">
        <v>101</v>
      </c>
      <c r="K638" s="9" t="s">
        <v>44</v>
      </c>
    </row>
    <row r="639" spans="1:11" x14ac:dyDescent="0.25">
      <c r="A639" s="8" t="s">
        <v>72</v>
      </c>
      <c r="B639" s="9" t="s">
        <v>73</v>
      </c>
      <c r="C639" s="9" t="s">
        <v>53</v>
      </c>
      <c r="D639" s="9" t="s">
        <v>100</v>
      </c>
      <c r="E639" s="10">
        <v>2015</v>
      </c>
      <c r="F639" s="10">
        <v>2016</v>
      </c>
      <c r="G639" s="9" t="s">
        <v>50</v>
      </c>
      <c r="H639" s="11">
        <v>0.21</v>
      </c>
      <c r="I639" s="11">
        <v>0.21</v>
      </c>
      <c r="J639" s="9" t="s">
        <v>101</v>
      </c>
      <c r="K639" s="9" t="s">
        <v>44</v>
      </c>
    </row>
    <row r="640" spans="1:11" x14ac:dyDescent="0.25">
      <c r="A640" s="8" t="s">
        <v>74</v>
      </c>
      <c r="B640" s="9" t="s">
        <v>75</v>
      </c>
      <c r="C640" s="9" t="s">
        <v>40</v>
      </c>
      <c r="D640" s="9" t="s">
        <v>100</v>
      </c>
      <c r="E640" s="10">
        <v>2015</v>
      </c>
      <c r="F640" s="10">
        <v>2016</v>
      </c>
      <c r="G640" s="9" t="s">
        <v>42</v>
      </c>
      <c r="H640" s="11">
        <v>14118.55</v>
      </c>
      <c r="I640" s="11">
        <v>14118.55</v>
      </c>
      <c r="J640" s="9" t="s">
        <v>101</v>
      </c>
      <c r="K640" s="9" t="s">
        <v>44</v>
      </c>
    </row>
    <row r="641" spans="1:11" x14ac:dyDescent="0.25">
      <c r="A641" s="8" t="s">
        <v>74</v>
      </c>
      <c r="B641" s="9" t="s">
        <v>75</v>
      </c>
      <c r="C641" s="9" t="s">
        <v>40</v>
      </c>
      <c r="D641" s="9" t="s">
        <v>100</v>
      </c>
      <c r="E641" s="10">
        <v>2015</v>
      </c>
      <c r="F641" s="10">
        <v>2016</v>
      </c>
      <c r="G641" s="9" t="s">
        <v>45</v>
      </c>
      <c r="H641" s="11">
        <v>4.54</v>
      </c>
      <c r="I641" s="11">
        <v>4.54</v>
      </c>
      <c r="J641" s="9" t="s">
        <v>101</v>
      </c>
      <c r="K641" s="9" t="s">
        <v>44</v>
      </c>
    </row>
    <row r="642" spans="1:11" x14ac:dyDescent="0.25">
      <c r="A642" s="8" t="s">
        <v>74</v>
      </c>
      <c r="B642" s="9" t="s">
        <v>75</v>
      </c>
      <c r="C642" s="9" t="s">
        <v>40</v>
      </c>
      <c r="D642" s="9" t="s">
        <v>100</v>
      </c>
      <c r="E642" s="10">
        <v>2015</v>
      </c>
      <c r="F642" s="10">
        <v>2016</v>
      </c>
      <c r="G642" s="9" t="s">
        <v>46</v>
      </c>
      <c r="H642" s="11">
        <v>29110.06</v>
      </c>
      <c r="I642" s="11">
        <v>29110.06</v>
      </c>
      <c r="J642" s="9" t="s">
        <v>101</v>
      </c>
      <c r="K642" s="9" t="s">
        <v>44</v>
      </c>
    </row>
    <row r="643" spans="1:11" x14ac:dyDescent="0.25">
      <c r="A643" s="8" t="s">
        <v>74</v>
      </c>
      <c r="B643" s="9" t="s">
        <v>75</v>
      </c>
      <c r="C643" s="9" t="s">
        <v>40</v>
      </c>
      <c r="D643" s="9" t="s">
        <v>100</v>
      </c>
      <c r="E643" s="10">
        <v>2015</v>
      </c>
      <c r="F643" s="10">
        <v>2016</v>
      </c>
      <c r="G643" s="9" t="s">
        <v>50</v>
      </c>
      <c r="H643" s="11">
        <v>144.44</v>
      </c>
      <c r="I643" s="11">
        <v>144.44</v>
      </c>
      <c r="J643" s="9" t="s">
        <v>101</v>
      </c>
      <c r="K643" s="9" t="s">
        <v>44</v>
      </c>
    </row>
    <row r="644" spans="1:11" x14ac:dyDescent="0.25">
      <c r="A644" s="8" t="s">
        <v>76</v>
      </c>
      <c r="B644" s="9" t="s">
        <v>77</v>
      </c>
      <c r="C644" s="9" t="s">
        <v>53</v>
      </c>
      <c r="D644" s="9" t="s">
        <v>100</v>
      </c>
      <c r="E644" s="10">
        <v>2015</v>
      </c>
      <c r="F644" s="10">
        <v>2016</v>
      </c>
      <c r="G644" s="9" t="s">
        <v>42</v>
      </c>
      <c r="H644" s="11">
        <v>66.62</v>
      </c>
      <c r="I644" s="11">
        <v>66.62</v>
      </c>
      <c r="J644" s="9" t="s">
        <v>101</v>
      </c>
      <c r="K644" s="9" t="s">
        <v>44</v>
      </c>
    </row>
    <row r="645" spans="1:11" x14ac:dyDescent="0.25">
      <c r="A645" s="8" t="s">
        <v>76</v>
      </c>
      <c r="B645" s="9" t="s">
        <v>77</v>
      </c>
      <c r="C645" s="9" t="s">
        <v>53</v>
      </c>
      <c r="D645" s="9" t="s">
        <v>100</v>
      </c>
      <c r="E645" s="10">
        <v>2015</v>
      </c>
      <c r="F645" s="10">
        <v>2016</v>
      </c>
      <c r="G645" s="9" t="s">
        <v>46</v>
      </c>
      <c r="H645" s="11">
        <v>25068.11</v>
      </c>
      <c r="I645" s="11">
        <v>25068.11</v>
      </c>
      <c r="J645" s="9" t="s">
        <v>101</v>
      </c>
      <c r="K645" s="9" t="s">
        <v>44</v>
      </c>
    </row>
    <row r="646" spans="1:11" x14ac:dyDescent="0.25">
      <c r="A646" s="8" t="s">
        <v>76</v>
      </c>
      <c r="B646" s="9" t="s">
        <v>77</v>
      </c>
      <c r="C646" s="9" t="s">
        <v>53</v>
      </c>
      <c r="D646" s="9" t="s">
        <v>100</v>
      </c>
      <c r="E646" s="10">
        <v>2015</v>
      </c>
      <c r="F646" s="10">
        <v>2016</v>
      </c>
      <c r="G646" s="9" t="s">
        <v>50</v>
      </c>
      <c r="H646" s="11">
        <v>0.15</v>
      </c>
      <c r="I646" s="11">
        <v>0.15</v>
      </c>
      <c r="J646" s="9" t="s">
        <v>101</v>
      </c>
      <c r="K646" s="9" t="s">
        <v>44</v>
      </c>
    </row>
    <row r="647" spans="1:11" x14ac:dyDescent="0.25">
      <c r="A647" s="8" t="s">
        <v>78</v>
      </c>
      <c r="B647" s="9" t="s">
        <v>79</v>
      </c>
      <c r="C647" s="9" t="s">
        <v>53</v>
      </c>
      <c r="D647" s="9" t="s">
        <v>100</v>
      </c>
      <c r="E647" s="10">
        <v>2015</v>
      </c>
      <c r="F647" s="10">
        <v>2016</v>
      </c>
      <c r="G647" s="9" t="s">
        <v>42</v>
      </c>
      <c r="H647" s="11">
        <v>1398.28</v>
      </c>
      <c r="I647" s="11">
        <v>1398.28</v>
      </c>
      <c r="J647" s="9" t="s">
        <v>101</v>
      </c>
      <c r="K647" s="9" t="s">
        <v>44</v>
      </c>
    </row>
    <row r="648" spans="1:11" x14ac:dyDescent="0.25">
      <c r="A648" s="8" t="s">
        <v>78</v>
      </c>
      <c r="B648" s="9" t="s">
        <v>79</v>
      </c>
      <c r="C648" s="9" t="s">
        <v>53</v>
      </c>
      <c r="D648" s="9" t="s">
        <v>100</v>
      </c>
      <c r="E648" s="10">
        <v>2015</v>
      </c>
      <c r="F648" s="10">
        <v>2016</v>
      </c>
      <c r="G648" s="9" t="s">
        <v>45</v>
      </c>
      <c r="H648" s="11">
        <v>6.75</v>
      </c>
      <c r="I648" s="11">
        <v>6.75</v>
      </c>
      <c r="J648" s="9" t="s">
        <v>101</v>
      </c>
      <c r="K648" s="9" t="s">
        <v>44</v>
      </c>
    </row>
    <row r="649" spans="1:11" x14ac:dyDescent="0.25">
      <c r="A649" s="8" t="s">
        <v>78</v>
      </c>
      <c r="B649" s="9" t="s">
        <v>79</v>
      </c>
      <c r="C649" s="9" t="s">
        <v>53</v>
      </c>
      <c r="D649" s="9" t="s">
        <v>100</v>
      </c>
      <c r="E649" s="10">
        <v>2015</v>
      </c>
      <c r="F649" s="10">
        <v>2016</v>
      </c>
      <c r="G649" s="9" t="s">
        <v>46</v>
      </c>
      <c r="H649" s="11">
        <v>55185.19</v>
      </c>
      <c r="I649" s="11">
        <v>55185.19</v>
      </c>
      <c r="J649" s="9" t="s">
        <v>101</v>
      </c>
      <c r="K649" s="9" t="s">
        <v>44</v>
      </c>
    </row>
    <row r="650" spans="1:11" x14ac:dyDescent="0.25">
      <c r="A650" s="8" t="s">
        <v>78</v>
      </c>
      <c r="B650" s="9" t="s">
        <v>79</v>
      </c>
      <c r="C650" s="9" t="s">
        <v>53</v>
      </c>
      <c r="D650" s="9" t="s">
        <v>100</v>
      </c>
      <c r="E650" s="10">
        <v>2015</v>
      </c>
      <c r="F650" s="10">
        <v>2016</v>
      </c>
      <c r="G650" s="9" t="s">
        <v>50</v>
      </c>
      <c r="H650" s="11">
        <v>12.74</v>
      </c>
      <c r="I650" s="11">
        <v>12.74</v>
      </c>
      <c r="J650" s="9" t="s">
        <v>101</v>
      </c>
      <c r="K650" s="9" t="s">
        <v>44</v>
      </c>
    </row>
    <row r="651" spans="1:11" x14ac:dyDescent="0.25">
      <c r="A651" s="8" t="s">
        <v>80</v>
      </c>
      <c r="B651" s="9" t="s">
        <v>81</v>
      </c>
      <c r="C651" s="9" t="s">
        <v>49</v>
      </c>
      <c r="D651" s="9" t="s">
        <v>100</v>
      </c>
      <c r="E651" s="10">
        <v>2015</v>
      </c>
      <c r="F651" s="10">
        <v>2016</v>
      </c>
      <c r="G651" s="9" t="s">
        <v>42</v>
      </c>
      <c r="H651" s="11">
        <v>61877.74</v>
      </c>
      <c r="I651" s="11">
        <v>61877.74</v>
      </c>
      <c r="J651" s="9" t="s">
        <v>101</v>
      </c>
      <c r="K651" s="9" t="s">
        <v>44</v>
      </c>
    </row>
    <row r="652" spans="1:11" x14ac:dyDescent="0.25">
      <c r="A652" s="8" t="s">
        <v>80</v>
      </c>
      <c r="B652" s="9" t="s">
        <v>81</v>
      </c>
      <c r="C652" s="9" t="s">
        <v>49</v>
      </c>
      <c r="D652" s="9" t="s">
        <v>100</v>
      </c>
      <c r="E652" s="10">
        <v>2015</v>
      </c>
      <c r="F652" s="10">
        <v>2016</v>
      </c>
      <c r="G652" s="9" t="s">
        <v>45</v>
      </c>
      <c r="H652" s="11">
        <v>3222.95</v>
      </c>
      <c r="I652" s="11">
        <v>3222.95</v>
      </c>
      <c r="J652" s="9" t="s">
        <v>101</v>
      </c>
      <c r="K652" s="9" t="s">
        <v>44</v>
      </c>
    </row>
    <row r="653" spans="1:11" x14ac:dyDescent="0.25">
      <c r="A653" s="8" t="s">
        <v>80</v>
      </c>
      <c r="B653" s="9" t="s">
        <v>81</v>
      </c>
      <c r="C653" s="9" t="s">
        <v>49</v>
      </c>
      <c r="D653" s="9" t="s">
        <v>100</v>
      </c>
      <c r="E653" s="10">
        <v>2015</v>
      </c>
      <c r="F653" s="10">
        <v>2016</v>
      </c>
      <c r="G653" s="9" t="s">
        <v>46</v>
      </c>
      <c r="H653" s="11">
        <v>223881.59</v>
      </c>
      <c r="I653" s="11">
        <v>223881.59</v>
      </c>
      <c r="J653" s="9" t="s">
        <v>101</v>
      </c>
      <c r="K653" s="9" t="s">
        <v>44</v>
      </c>
    </row>
    <row r="654" spans="1:11" x14ac:dyDescent="0.25">
      <c r="A654" s="8" t="s">
        <v>80</v>
      </c>
      <c r="B654" s="9" t="s">
        <v>81</v>
      </c>
      <c r="C654" s="9" t="s">
        <v>49</v>
      </c>
      <c r="D654" s="9" t="s">
        <v>100</v>
      </c>
      <c r="E654" s="10">
        <v>2015</v>
      </c>
      <c r="F654" s="10">
        <v>2016</v>
      </c>
      <c r="G654" s="9" t="s">
        <v>50</v>
      </c>
      <c r="H654" s="11">
        <v>399.44</v>
      </c>
      <c r="I654" s="11">
        <v>399.44</v>
      </c>
      <c r="J654" s="9" t="s">
        <v>101</v>
      </c>
      <c r="K654" s="9" t="s">
        <v>44</v>
      </c>
    </row>
    <row r="655" spans="1:11" x14ac:dyDescent="0.25">
      <c r="A655" s="8" t="s">
        <v>82</v>
      </c>
      <c r="B655" s="9" t="s">
        <v>83</v>
      </c>
      <c r="C655" s="9" t="s">
        <v>40</v>
      </c>
      <c r="D655" s="9" t="s">
        <v>100</v>
      </c>
      <c r="E655" s="10">
        <v>2015</v>
      </c>
      <c r="F655" s="10">
        <v>2016</v>
      </c>
      <c r="G655" s="9" t="s">
        <v>42</v>
      </c>
      <c r="H655" s="11">
        <v>4624.0200000000004</v>
      </c>
      <c r="I655" s="11">
        <v>4624.0200000000004</v>
      </c>
      <c r="J655" s="9" t="s">
        <v>101</v>
      </c>
      <c r="K655" s="9" t="s">
        <v>44</v>
      </c>
    </row>
    <row r="656" spans="1:11" x14ac:dyDescent="0.25">
      <c r="A656" s="8" t="s">
        <v>82</v>
      </c>
      <c r="B656" s="9" t="s">
        <v>83</v>
      </c>
      <c r="C656" s="9" t="s">
        <v>40</v>
      </c>
      <c r="D656" s="9" t="s">
        <v>100</v>
      </c>
      <c r="E656" s="10">
        <v>2015</v>
      </c>
      <c r="F656" s="10">
        <v>2016</v>
      </c>
      <c r="G656" s="9" t="s">
        <v>45</v>
      </c>
      <c r="H656" s="11">
        <v>7.57</v>
      </c>
      <c r="I656" s="11">
        <v>7.57</v>
      </c>
      <c r="J656" s="9" t="s">
        <v>101</v>
      </c>
      <c r="K656" s="9" t="s">
        <v>44</v>
      </c>
    </row>
    <row r="657" spans="1:11" x14ac:dyDescent="0.25">
      <c r="A657" s="8" t="s">
        <v>82</v>
      </c>
      <c r="B657" s="9" t="s">
        <v>83</v>
      </c>
      <c r="C657" s="9" t="s">
        <v>40</v>
      </c>
      <c r="D657" s="9" t="s">
        <v>100</v>
      </c>
      <c r="E657" s="10">
        <v>2015</v>
      </c>
      <c r="F657" s="10">
        <v>2016</v>
      </c>
      <c r="G657" s="9" t="s">
        <v>46</v>
      </c>
      <c r="H657" s="11">
        <v>21962.11</v>
      </c>
      <c r="I657" s="11">
        <v>21962.11</v>
      </c>
      <c r="J657" s="9" t="s">
        <v>101</v>
      </c>
      <c r="K657" s="9" t="s">
        <v>44</v>
      </c>
    </row>
    <row r="658" spans="1:11" x14ac:dyDescent="0.25">
      <c r="A658" s="8" t="s">
        <v>84</v>
      </c>
      <c r="B658" s="9" t="s">
        <v>85</v>
      </c>
      <c r="C658" s="9" t="s">
        <v>85</v>
      </c>
      <c r="D658" s="9" t="s">
        <v>100</v>
      </c>
      <c r="E658" s="10">
        <v>2015</v>
      </c>
      <c r="F658" s="10">
        <v>2016</v>
      </c>
      <c r="G658" s="9" t="s">
        <v>42</v>
      </c>
      <c r="H658" s="11">
        <v>165075.70000000001</v>
      </c>
      <c r="I658" s="11">
        <v>165075.70000000001</v>
      </c>
      <c r="J658" s="9" t="s">
        <v>101</v>
      </c>
      <c r="K658" s="9" t="s">
        <v>44</v>
      </c>
    </row>
    <row r="659" spans="1:11" x14ac:dyDescent="0.25">
      <c r="A659" s="8" t="s">
        <v>84</v>
      </c>
      <c r="B659" s="9" t="s">
        <v>85</v>
      </c>
      <c r="C659" s="9" t="s">
        <v>85</v>
      </c>
      <c r="D659" s="9" t="s">
        <v>100</v>
      </c>
      <c r="E659" s="10">
        <v>2015</v>
      </c>
      <c r="F659" s="10">
        <v>2016</v>
      </c>
      <c r="G659" s="9" t="s">
        <v>45</v>
      </c>
      <c r="H659" s="11">
        <v>328.1</v>
      </c>
      <c r="I659" s="11">
        <v>328.1</v>
      </c>
      <c r="J659" s="9" t="s">
        <v>101</v>
      </c>
      <c r="K659" s="9" t="s">
        <v>44</v>
      </c>
    </row>
    <row r="660" spans="1:11" x14ac:dyDescent="0.25">
      <c r="A660" s="8" t="s">
        <v>84</v>
      </c>
      <c r="B660" s="9" t="s">
        <v>85</v>
      </c>
      <c r="C660" s="9" t="s">
        <v>85</v>
      </c>
      <c r="D660" s="9" t="s">
        <v>100</v>
      </c>
      <c r="E660" s="10">
        <v>2015</v>
      </c>
      <c r="F660" s="10">
        <v>2016</v>
      </c>
      <c r="G660" s="9" t="s">
        <v>46</v>
      </c>
      <c r="H660" s="11">
        <v>76152.259999999995</v>
      </c>
      <c r="I660" s="11">
        <v>76152.259999999995</v>
      </c>
      <c r="J660" s="9" t="s">
        <v>101</v>
      </c>
      <c r="K660" s="9" t="s">
        <v>44</v>
      </c>
    </row>
    <row r="661" spans="1:11" x14ac:dyDescent="0.25">
      <c r="A661" s="8" t="s">
        <v>84</v>
      </c>
      <c r="B661" s="9" t="s">
        <v>85</v>
      </c>
      <c r="C661" s="9" t="s">
        <v>85</v>
      </c>
      <c r="D661" s="9" t="s">
        <v>100</v>
      </c>
      <c r="E661" s="10">
        <v>2015</v>
      </c>
      <c r="F661" s="10">
        <v>2016</v>
      </c>
      <c r="G661" s="9" t="s">
        <v>50</v>
      </c>
      <c r="H661" s="11">
        <v>13066.98</v>
      </c>
      <c r="I661" s="11">
        <v>13066.98</v>
      </c>
      <c r="J661" s="9" t="s">
        <v>101</v>
      </c>
      <c r="K661" s="9" t="s">
        <v>44</v>
      </c>
    </row>
    <row r="662" spans="1:11" x14ac:dyDescent="0.25">
      <c r="A662" s="8" t="s">
        <v>86</v>
      </c>
      <c r="B662" s="9" t="s">
        <v>87</v>
      </c>
      <c r="C662" s="9" t="s">
        <v>69</v>
      </c>
      <c r="D662" s="9" t="s">
        <v>100</v>
      </c>
      <c r="E662" s="10">
        <v>2015</v>
      </c>
      <c r="F662" s="10">
        <v>2016</v>
      </c>
      <c r="G662" s="9" t="s">
        <v>42</v>
      </c>
      <c r="H662" s="11">
        <v>112615.37</v>
      </c>
      <c r="I662" s="11">
        <v>112615.37</v>
      </c>
      <c r="J662" s="9" t="s">
        <v>101</v>
      </c>
      <c r="K662" s="9" t="s">
        <v>44</v>
      </c>
    </row>
    <row r="663" spans="1:11" x14ac:dyDescent="0.25">
      <c r="A663" s="8" t="s">
        <v>86</v>
      </c>
      <c r="B663" s="9" t="s">
        <v>87</v>
      </c>
      <c r="C663" s="9" t="s">
        <v>69</v>
      </c>
      <c r="D663" s="9" t="s">
        <v>100</v>
      </c>
      <c r="E663" s="10">
        <v>2015</v>
      </c>
      <c r="F663" s="10">
        <v>2016</v>
      </c>
      <c r="G663" s="9" t="s">
        <v>45</v>
      </c>
      <c r="H663" s="11">
        <v>55.96</v>
      </c>
      <c r="I663" s="11">
        <v>55.96</v>
      </c>
      <c r="J663" s="9" t="s">
        <v>101</v>
      </c>
      <c r="K663" s="9" t="s">
        <v>44</v>
      </c>
    </row>
    <row r="664" spans="1:11" x14ac:dyDescent="0.25">
      <c r="A664" s="8" t="s">
        <v>86</v>
      </c>
      <c r="B664" s="9" t="s">
        <v>87</v>
      </c>
      <c r="C664" s="9" t="s">
        <v>69</v>
      </c>
      <c r="D664" s="9" t="s">
        <v>100</v>
      </c>
      <c r="E664" s="10">
        <v>2015</v>
      </c>
      <c r="F664" s="10">
        <v>2016</v>
      </c>
      <c r="G664" s="9" t="s">
        <v>46</v>
      </c>
      <c r="H664" s="11">
        <v>19728.060000000001</v>
      </c>
      <c r="I664" s="11">
        <v>19728.060000000001</v>
      </c>
      <c r="J664" s="9" t="s">
        <v>101</v>
      </c>
      <c r="K664" s="9" t="s">
        <v>44</v>
      </c>
    </row>
    <row r="665" spans="1:11" x14ac:dyDescent="0.25">
      <c r="A665" s="8" t="s">
        <v>86</v>
      </c>
      <c r="B665" s="9" t="s">
        <v>87</v>
      </c>
      <c r="C665" s="9" t="s">
        <v>69</v>
      </c>
      <c r="D665" s="9" t="s">
        <v>100</v>
      </c>
      <c r="E665" s="10">
        <v>2015</v>
      </c>
      <c r="F665" s="10">
        <v>2016</v>
      </c>
      <c r="G665" s="9" t="s">
        <v>50</v>
      </c>
      <c r="H665" s="11">
        <v>33457.54</v>
      </c>
      <c r="I665" s="11">
        <v>33457.54</v>
      </c>
      <c r="J665" s="9" t="s">
        <v>101</v>
      </c>
      <c r="K665" s="9" t="s">
        <v>44</v>
      </c>
    </row>
    <row r="666" spans="1:11" x14ac:dyDescent="0.25">
      <c r="A666" s="8" t="s">
        <v>38</v>
      </c>
      <c r="B666" s="9" t="s">
        <v>39</v>
      </c>
      <c r="C666" s="9" t="s">
        <v>40</v>
      </c>
      <c r="D666" s="9" t="s">
        <v>102</v>
      </c>
      <c r="E666" s="10">
        <v>2016</v>
      </c>
      <c r="F666" s="10">
        <v>2017</v>
      </c>
      <c r="G666" s="9" t="s">
        <v>42</v>
      </c>
      <c r="H666" s="11">
        <v>13665</v>
      </c>
      <c r="I666" s="11">
        <v>13665</v>
      </c>
      <c r="J666" s="9" t="s">
        <v>89</v>
      </c>
      <c r="K666" s="9" t="s">
        <v>44</v>
      </c>
    </row>
    <row r="667" spans="1:11" x14ac:dyDescent="0.25">
      <c r="A667" s="8" t="s">
        <v>38</v>
      </c>
      <c r="B667" s="9" t="s">
        <v>39</v>
      </c>
      <c r="C667" s="9" t="s">
        <v>40</v>
      </c>
      <c r="D667" s="9" t="s">
        <v>102</v>
      </c>
      <c r="E667" s="10">
        <v>2016</v>
      </c>
      <c r="F667" s="10">
        <v>2017</v>
      </c>
      <c r="G667" s="9" t="s">
        <v>45</v>
      </c>
      <c r="H667" s="11">
        <v>35.659999999999997</v>
      </c>
      <c r="I667" s="11">
        <v>35.659999999999997</v>
      </c>
      <c r="J667" s="9" t="s">
        <v>89</v>
      </c>
      <c r="K667" s="9" t="s">
        <v>44</v>
      </c>
    </row>
    <row r="668" spans="1:11" x14ac:dyDescent="0.25">
      <c r="A668" s="8" t="s">
        <v>38</v>
      </c>
      <c r="B668" s="9" t="s">
        <v>39</v>
      </c>
      <c r="C668" s="9" t="s">
        <v>40</v>
      </c>
      <c r="D668" s="9" t="s">
        <v>102</v>
      </c>
      <c r="E668" s="10">
        <v>2016</v>
      </c>
      <c r="F668" s="10">
        <v>2017</v>
      </c>
      <c r="G668" s="9" t="s">
        <v>46</v>
      </c>
      <c r="H668" s="11">
        <v>15962.38</v>
      </c>
      <c r="I668" s="11">
        <v>15962.38</v>
      </c>
      <c r="J668" s="9" t="s">
        <v>89</v>
      </c>
      <c r="K668" s="9" t="s">
        <v>44</v>
      </c>
    </row>
    <row r="669" spans="1:11" x14ac:dyDescent="0.25">
      <c r="A669" s="8" t="s">
        <v>47</v>
      </c>
      <c r="B669" s="9" t="s">
        <v>48</v>
      </c>
      <c r="C669" s="9" t="s">
        <v>49</v>
      </c>
      <c r="D669" s="9" t="s">
        <v>102</v>
      </c>
      <c r="E669" s="10">
        <v>2016</v>
      </c>
      <c r="F669" s="10">
        <v>2017</v>
      </c>
      <c r="G669" s="9" t="s">
        <v>42</v>
      </c>
      <c r="H669" s="11">
        <v>17473.419999999998</v>
      </c>
      <c r="I669" s="11">
        <v>17473.419999999998</v>
      </c>
      <c r="J669" s="9" t="s">
        <v>89</v>
      </c>
      <c r="K669" s="9" t="s">
        <v>44</v>
      </c>
    </row>
    <row r="670" spans="1:11" x14ac:dyDescent="0.25">
      <c r="A670" s="8" t="s">
        <v>47</v>
      </c>
      <c r="B670" s="9" t="s">
        <v>48</v>
      </c>
      <c r="C670" s="9" t="s">
        <v>49</v>
      </c>
      <c r="D670" s="9" t="s">
        <v>102</v>
      </c>
      <c r="E670" s="10">
        <v>2016</v>
      </c>
      <c r="F670" s="10">
        <v>2017</v>
      </c>
      <c r="G670" s="9" t="s">
        <v>45</v>
      </c>
      <c r="H670" s="11">
        <v>241.81</v>
      </c>
      <c r="I670" s="11">
        <v>241.81</v>
      </c>
      <c r="J670" s="9" t="s">
        <v>89</v>
      </c>
      <c r="K670" s="9" t="s">
        <v>44</v>
      </c>
    </row>
    <row r="671" spans="1:11" x14ac:dyDescent="0.25">
      <c r="A671" s="8" t="s">
        <v>47</v>
      </c>
      <c r="B671" s="9" t="s">
        <v>48</v>
      </c>
      <c r="C671" s="9" t="s">
        <v>49</v>
      </c>
      <c r="D671" s="9" t="s">
        <v>102</v>
      </c>
      <c r="E671" s="10">
        <v>2016</v>
      </c>
      <c r="F671" s="10">
        <v>2017</v>
      </c>
      <c r="G671" s="9" t="s">
        <v>46</v>
      </c>
      <c r="H671" s="11">
        <v>35185.86</v>
      </c>
      <c r="I671" s="11">
        <v>35185.86</v>
      </c>
      <c r="J671" s="9" t="s">
        <v>89</v>
      </c>
      <c r="K671" s="9" t="s">
        <v>44</v>
      </c>
    </row>
    <row r="672" spans="1:11" x14ac:dyDescent="0.25">
      <c r="A672" s="8" t="s">
        <v>47</v>
      </c>
      <c r="B672" s="9" t="s">
        <v>48</v>
      </c>
      <c r="C672" s="9" t="s">
        <v>49</v>
      </c>
      <c r="D672" s="9" t="s">
        <v>102</v>
      </c>
      <c r="E672" s="10">
        <v>2016</v>
      </c>
      <c r="F672" s="10">
        <v>2017</v>
      </c>
      <c r="G672" s="9" t="s">
        <v>64</v>
      </c>
      <c r="H672" s="11">
        <v>12.92</v>
      </c>
      <c r="I672" s="11">
        <v>12.92</v>
      </c>
      <c r="J672" s="9" t="s">
        <v>89</v>
      </c>
      <c r="K672" s="9" t="s">
        <v>44</v>
      </c>
    </row>
    <row r="673" spans="1:11" x14ac:dyDescent="0.25">
      <c r="A673" s="8" t="s">
        <v>47</v>
      </c>
      <c r="B673" s="9" t="s">
        <v>48</v>
      </c>
      <c r="C673" s="9" t="s">
        <v>49</v>
      </c>
      <c r="D673" s="9" t="s">
        <v>102</v>
      </c>
      <c r="E673" s="10">
        <v>2016</v>
      </c>
      <c r="F673" s="10">
        <v>2017</v>
      </c>
      <c r="G673" s="9" t="s">
        <v>50</v>
      </c>
      <c r="H673" s="11">
        <v>366.05</v>
      </c>
      <c r="I673" s="11">
        <v>366.05</v>
      </c>
      <c r="J673" s="9" t="s">
        <v>89</v>
      </c>
      <c r="K673" s="9" t="s">
        <v>44</v>
      </c>
    </row>
    <row r="674" spans="1:11" x14ac:dyDescent="0.25">
      <c r="A674" s="8" t="s">
        <v>51</v>
      </c>
      <c r="B674" s="9" t="s">
        <v>52</v>
      </c>
      <c r="C674" s="9" t="s">
        <v>53</v>
      </c>
      <c r="D674" s="9" t="s">
        <v>102</v>
      </c>
      <c r="E674" s="10">
        <v>2016</v>
      </c>
      <c r="F674" s="10">
        <v>2017</v>
      </c>
      <c r="G674" s="9" t="s">
        <v>42</v>
      </c>
      <c r="H674" s="11">
        <v>675.21</v>
      </c>
      <c r="I674" s="11">
        <v>675.21</v>
      </c>
      <c r="J674" s="9" t="s">
        <v>89</v>
      </c>
      <c r="K674" s="9" t="s">
        <v>44</v>
      </c>
    </row>
    <row r="675" spans="1:11" x14ac:dyDescent="0.25">
      <c r="A675" s="8" t="s">
        <v>51</v>
      </c>
      <c r="B675" s="9" t="s">
        <v>52</v>
      </c>
      <c r="C675" s="9" t="s">
        <v>53</v>
      </c>
      <c r="D675" s="9" t="s">
        <v>102</v>
      </c>
      <c r="E675" s="10">
        <v>2016</v>
      </c>
      <c r="F675" s="10">
        <v>2017</v>
      </c>
      <c r="G675" s="9" t="s">
        <v>45</v>
      </c>
      <c r="H675" s="11">
        <v>16.13</v>
      </c>
      <c r="I675" s="11">
        <v>16.13</v>
      </c>
      <c r="J675" s="9" t="s">
        <v>89</v>
      </c>
      <c r="K675" s="9" t="s">
        <v>44</v>
      </c>
    </row>
    <row r="676" spans="1:11" x14ac:dyDescent="0.25">
      <c r="A676" s="8" t="s">
        <v>51</v>
      </c>
      <c r="B676" s="9" t="s">
        <v>52</v>
      </c>
      <c r="C676" s="9" t="s">
        <v>53</v>
      </c>
      <c r="D676" s="9" t="s">
        <v>102</v>
      </c>
      <c r="E676" s="10">
        <v>2016</v>
      </c>
      <c r="F676" s="10">
        <v>2017</v>
      </c>
      <c r="G676" s="9" t="s">
        <v>46</v>
      </c>
      <c r="H676" s="11">
        <v>73316.17</v>
      </c>
      <c r="I676" s="11">
        <v>73316.17</v>
      </c>
      <c r="J676" s="9" t="s">
        <v>89</v>
      </c>
      <c r="K676" s="9" t="s">
        <v>44</v>
      </c>
    </row>
    <row r="677" spans="1:11" x14ac:dyDescent="0.25">
      <c r="A677" s="8" t="s">
        <v>51</v>
      </c>
      <c r="B677" s="9" t="s">
        <v>52</v>
      </c>
      <c r="C677" s="9" t="s">
        <v>53</v>
      </c>
      <c r="D677" s="9" t="s">
        <v>102</v>
      </c>
      <c r="E677" s="10">
        <v>2016</v>
      </c>
      <c r="F677" s="10">
        <v>2017</v>
      </c>
      <c r="G677" s="9" t="s">
        <v>64</v>
      </c>
      <c r="H677" s="11">
        <v>57.47</v>
      </c>
      <c r="I677" s="11">
        <v>57.47</v>
      </c>
      <c r="J677" s="9" t="s">
        <v>89</v>
      </c>
      <c r="K677" s="9" t="s">
        <v>44</v>
      </c>
    </row>
    <row r="678" spans="1:11" x14ac:dyDescent="0.25">
      <c r="A678" s="8" t="s">
        <v>51</v>
      </c>
      <c r="B678" s="9" t="s">
        <v>52</v>
      </c>
      <c r="C678" s="9" t="s">
        <v>53</v>
      </c>
      <c r="D678" s="9" t="s">
        <v>102</v>
      </c>
      <c r="E678" s="10">
        <v>2016</v>
      </c>
      <c r="F678" s="10">
        <v>2017</v>
      </c>
      <c r="G678" s="9" t="s">
        <v>50</v>
      </c>
      <c r="H678" s="11">
        <v>0.77</v>
      </c>
      <c r="I678" s="11">
        <v>0.77</v>
      </c>
      <c r="J678" s="9" t="s">
        <v>89</v>
      </c>
      <c r="K678" s="9" t="s">
        <v>44</v>
      </c>
    </row>
    <row r="679" spans="1:11" x14ac:dyDescent="0.25">
      <c r="A679" s="8" t="s">
        <v>54</v>
      </c>
      <c r="B679" s="9" t="s">
        <v>55</v>
      </c>
      <c r="C679" s="9" t="s">
        <v>49</v>
      </c>
      <c r="D679" s="9" t="s">
        <v>102</v>
      </c>
      <c r="E679" s="10">
        <v>2016</v>
      </c>
      <c r="F679" s="10">
        <v>2017</v>
      </c>
      <c r="G679" s="9" t="s">
        <v>42</v>
      </c>
      <c r="H679" s="11">
        <v>4651.25</v>
      </c>
      <c r="I679" s="11">
        <v>4651.25</v>
      </c>
      <c r="J679" s="9" t="s">
        <v>89</v>
      </c>
      <c r="K679" s="9" t="s">
        <v>44</v>
      </c>
    </row>
    <row r="680" spans="1:11" x14ac:dyDescent="0.25">
      <c r="A680" s="8" t="s">
        <v>54</v>
      </c>
      <c r="B680" s="9" t="s">
        <v>55</v>
      </c>
      <c r="C680" s="9" t="s">
        <v>49</v>
      </c>
      <c r="D680" s="9" t="s">
        <v>102</v>
      </c>
      <c r="E680" s="10">
        <v>2016</v>
      </c>
      <c r="F680" s="10">
        <v>2017</v>
      </c>
      <c r="G680" s="9" t="s">
        <v>45</v>
      </c>
      <c r="H680" s="11">
        <v>63.9</v>
      </c>
      <c r="I680" s="11">
        <v>63.9</v>
      </c>
      <c r="J680" s="9" t="s">
        <v>89</v>
      </c>
      <c r="K680" s="9" t="s">
        <v>44</v>
      </c>
    </row>
    <row r="681" spans="1:11" x14ac:dyDescent="0.25">
      <c r="A681" s="8" t="s">
        <v>54</v>
      </c>
      <c r="B681" s="9" t="s">
        <v>55</v>
      </c>
      <c r="C681" s="9" t="s">
        <v>49</v>
      </c>
      <c r="D681" s="9" t="s">
        <v>102</v>
      </c>
      <c r="E681" s="10">
        <v>2016</v>
      </c>
      <c r="F681" s="10">
        <v>2017</v>
      </c>
      <c r="G681" s="9" t="s">
        <v>46</v>
      </c>
      <c r="H681" s="11">
        <v>33302.879999999997</v>
      </c>
      <c r="I681" s="11">
        <v>33302.879999999997</v>
      </c>
      <c r="J681" s="9" t="s">
        <v>89</v>
      </c>
      <c r="K681" s="9" t="s">
        <v>44</v>
      </c>
    </row>
    <row r="682" spans="1:11" x14ac:dyDescent="0.25">
      <c r="A682" s="8" t="s">
        <v>54</v>
      </c>
      <c r="B682" s="9" t="s">
        <v>55</v>
      </c>
      <c r="C682" s="9" t="s">
        <v>49</v>
      </c>
      <c r="D682" s="9" t="s">
        <v>102</v>
      </c>
      <c r="E682" s="10">
        <v>2016</v>
      </c>
      <c r="F682" s="10">
        <v>2017</v>
      </c>
      <c r="G682" s="9" t="s">
        <v>50</v>
      </c>
      <c r="H682" s="11">
        <v>346.45</v>
      </c>
      <c r="I682" s="11">
        <v>346.45</v>
      </c>
      <c r="J682" s="9" t="s">
        <v>89</v>
      </c>
      <c r="K682" s="9" t="s">
        <v>44</v>
      </c>
    </row>
    <row r="683" spans="1:11" x14ac:dyDescent="0.25">
      <c r="A683" s="8" t="s">
        <v>56</v>
      </c>
      <c r="B683" s="9" t="s">
        <v>57</v>
      </c>
      <c r="C683" s="9" t="s">
        <v>40</v>
      </c>
      <c r="D683" s="9" t="s">
        <v>102</v>
      </c>
      <c r="E683" s="10">
        <v>2016</v>
      </c>
      <c r="F683" s="10">
        <v>2017</v>
      </c>
      <c r="G683" s="9" t="s">
        <v>42</v>
      </c>
      <c r="H683" s="11">
        <v>12398.52</v>
      </c>
      <c r="I683" s="11">
        <v>12398.52</v>
      </c>
      <c r="J683" s="9" t="s">
        <v>89</v>
      </c>
      <c r="K683" s="9" t="s">
        <v>44</v>
      </c>
    </row>
    <row r="684" spans="1:11" x14ac:dyDescent="0.25">
      <c r="A684" s="8" t="s">
        <v>56</v>
      </c>
      <c r="B684" s="9" t="s">
        <v>57</v>
      </c>
      <c r="C684" s="9" t="s">
        <v>40</v>
      </c>
      <c r="D684" s="9" t="s">
        <v>102</v>
      </c>
      <c r="E684" s="10">
        <v>2016</v>
      </c>
      <c r="F684" s="10">
        <v>2017</v>
      </c>
      <c r="G684" s="9" t="s">
        <v>45</v>
      </c>
      <c r="H684" s="11">
        <v>60.61</v>
      </c>
      <c r="I684" s="11">
        <v>60.61</v>
      </c>
      <c r="J684" s="9" t="s">
        <v>89</v>
      </c>
      <c r="K684" s="9" t="s">
        <v>44</v>
      </c>
    </row>
    <row r="685" spans="1:11" x14ac:dyDescent="0.25">
      <c r="A685" s="8" t="s">
        <v>56</v>
      </c>
      <c r="B685" s="9" t="s">
        <v>57</v>
      </c>
      <c r="C685" s="9" t="s">
        <v>40</v>
      </c>
      <c r="D685" s="9" t="s">
        <v>102</v>
      </c>
      <c r="E685" s="10">
        <v>2016</v>
      </c>
      <c r="F685" s="10">
        <v>2017</v>
      </c>
      <c r="G685" s="9" t="s">
        <v>46</v>
      </c>
      <c r="H685" s="11">
        <v>23950.240000000002</v>
      </c>
      <c r="I685" s="11">
        <v>23950.240000000002</v>
      </c>
      <c r="J685" s="9" t="s">
        <v>89</v>
      </c>
      <c r="K685" s="9" t="s">
        <v>44</v>
      </c>
    </row>
    <row r="686" spans="1:11" x14ac:dyDescent="0.25">
      <c r="A686" s="8" t="s">
        <v>56</v>
      </c>
      <c r="B686" s="9" t="s">
        <v>57</v>
      </c>
      <c r="C686" s="9" t="s">
        <v>40</v>
      </c>
      <c r="D686" s="9" t="s">
        <v>102</v>
      </c>
      <c r="E686" s="10">
        <v>2016</v>
      </c>
      <c r="F686" s="10">
        <v>2017</v>
      </c>
      <c r="G686" s="9" t="s">
        <v>50</v>
      </c>
      <c r="H686" s="11">
        <v>35.75</v>
      </c>
      <c r="I686" s="11">
        <v>35.75</v>
      </c>
      <c r="J686" s="9" t="s">
        <v>89</v>
      </c>
      <c r="K686" s="9" t="s">
        <v>44</v>
      </c>
    </row>
    <row r="687" spans="1:11" x14ac:dyDescent="0.25">
      <c r="A687" s="8" t="s">
        <v>58</v>
      </c>
      <c r="B687" s="9" t="s">
        <v>59</v>
      </c>
      <c r="C687" s="9" t="s">
        <v>49</v>
      </c>
      <c r="D687" s="9" t="s">
        <v>102</v>
      </c>
      <c r="E687" s="10">
        <v>2016</v>
      </c>
      <c r="F687" s="10">
        <v>2017</v>
      </c>
      <c r="G687" s="9" t="s">
        <v>42</v>
      </c>
      <c r="H687" s="11">
        <v>18568.37</v>
      </c>
      <c r="I687" s="11">
        <v>18568.37</v>
      </c>
      <c r="J687" s="9" t="s">
        <v>89</v>
      </c>
      <c r="K687" s="9" t="s">
        <v>44</v>
      </c>
    </row>
    <row r="688" spans="1:11" x14ac:dyDescent="0.25">
      <c r="A688" s="8" t="s">
        <v>58</v>
      </c>
      <c r="B688" s="9" t="s">
        <v>59</v>
      </c>
      <c r="C688" s="9" t="s">
        <v>49</v>
      </c>
      <c r="D688" s="9" t="s">
        <v>102</v>
      </c>
      <c r="E688" s="10">
        <v>2016</v>
      </c>
      <c r="F688" s="10">
        <v>2017</v>
      </c>
      <c r="G688" s="9" t="s">
        <v>45</v>
      </c>
      <c r="H688" s="11">
        <v>269.22000000000003</v>
      </c>
      <c r="I688" s="11">
        <v>269.22000000000003</v>
      </c>
      <c r="J688" s="9" t="s">
        <v>89</v>
      </c>
      <c r="K688" s="9" t="s">
        <v>44</v>
      </c>
    </row>
    <row r="689" spans="1:11" x14ac:dyDescent="0.25">
      <c r="A689" s="8" t="s">
        <v>58</v>
      </c>
      <c r="B689" s="9" t="s">
        <v>59</v>
      </c>
      <c r="C689" s="9" t="s">
        <v>49</v>
      </c>
      <c r="D689" s="9" t="s">
        <v>102</v>
      </c>
      <c r="E689" s="10">
        <v>2016</v>
      </c>
      <c r="F689" s="10">
        <v>2017</v>
      </c>
      <c r="G689" s="9" t="s">
        <v>46</v>
      </c>
      <c r="H689" s="11">
        <v>50421.9</v>
      </c>
      <c r="I689" s="11">
        <v>50421.9</v>
      </c>
      <c r="J689" s="9" t="s">
        <v>89</v>
      </c>
      <c r="K689" s="9" t="s">
        <v>44</v>
      </c>
    </row>
    <row r="690" spans="1:11" x14ac:dyDescent="0.25">
      <c r="A690" s="8" t="s">
        <v>58</v>
      </c>
      <c r="B690" s="9" t="s">
        <v>59</v>
      </c>
      <c r="C690" s="9" t="s">
        <v>49</v>
      </c>
      <c r="D690" s="9" t="s">
        <v>102</v>
      </c>
      <c r="E690" s="10">
        <v>2016</v>
      </c>
      <c r="F690" s="10">
        <v>2017</v>
      </c>
      <c r="G690" s="9" t="s">
        <v>50</v>
      </c>
      <c r="H690" s="11">
        <v>1202.7</v>
      </c>
      <c r="I690" s="11">
        <v>1202.7</v>
      </c>
      <c r="J690" s="9" t="s">
        <v>89</v>
      </c>
      <c r="K690" s="9" t="s">
        <v>44</v>
      </c>
    </row>
    <row r="691" spans="1:11" x14ac:dyDescent="0.25">
      <c r="A691" s="8" t="s">
        <v>60</v>
      </c>
      <c r="B691" s="9" t="s">
        <v>61</v>
      </c>
      <c r="C691" s="9" t="s">
        <v>40</v>
      </c>
      <c r="D691" s="9" t="s">
        <v>102</v>
      </c>
      <c r="E691" s="10">
        <v>2016</v>
      </c>
      <c r="F691" s="10">
        <v>2017</v>
      </c>
      <c r="G691" s="9" t="s">
        <v>42</v>
      </c>
      <c r="H691" s="11">
        <v>120185.76</v>
      </c>
      <c r="I691" s="11">
        <v>120185.76</v>
      </c>
      <c r="J691" s="9" t="s">
        <v>89</v>
      </c>
      <c r="K691" s="9" t="s">
        <v>44</v>
      </c>
    </row>
    <row r="692" spans="1:11" x14ac:dyDescent="0.25">
      <c r="A692" s="8" t="s">
        <v>60</v>
      </c>
      <c r="B692" s="9" t="s">
        <v>61</v>
      </c>
      <c r="C692" s="9" t="s">
        <v>40</v>
      </c>
      <c r="D692" s="9" t="s">
        <v>102</v>
      </c>
      <c r="E692" s="10">
        <v>2016</v>
      </c>
      <c r="F692" s="10">
        <v>2017</v>
      </c>
      <c r="G692" s="9" t="s">
        <v>45</v>
      </c>
      <c r="H692" s="11">
        <v>392.7</v>
      </c>
      <c r="I692" s="11">
        <v>392.7</v>
      </c>
      <c r="J692" s="9" t="s">
        <v>89</v>
      </c>
      <c r="K692" s="9" t="s">
        <v>44</v>
      </c>
    </row>
    <row r="693" spans="1:11" x14ac:dyDescent="0.25">
      <c r="A693" s="8" t="s">
        <v>60</v>
      </c>
      <c r="B693" s="9" t="s">
        <v>61</v>
      </c>
      <c r="C693" s="9" t="s">
        <v>40</v>
      </c>
      <c r="D693" s="9" t="s">
        <v>102</v>
      </c>
      <c r="E693" s="10">
        <v>2016</v>
      </c>
      <c r="F693" s="10">
        <v>2017</v>
      </c>
      <c r="G693" s="9" t="s">
        <v>46</v>
      </c>
      <c r="H693" s="11">
        <v>51551.77</v>
      </c>
      <c r="I693" s="11">
        <v>51551.77</v>
      </c>
      <c r="J693" s="9" t="s">
        <v>89</v>
      </c>
      <c r="K693" s="9" t="s">
        <v>44</v>
      </c>
    </row>
    <row r="694" spans="1:11" x14ac:dyDescent="0.25">
      <c r="A694" s="8" t="s">
        <v>60</v>
      </c>
      <c r="B694" s="9" t="s">
        <v>61</v>
      </c>
      <c r="C694" s="9" t="s">
        <v>40</v>
      </c>
      <c r="D694" s="9" t="s">
        <v>102</v>
      </c>
      <c r="E694" s="10">
        <v>2016</v>
      </c>
      <c r="F694" s="10">
        <v>2017</v>
      </c>
      <c r="G694" s="9" t="s">
        <v>50</v>
      </c>
      <c r="H694" s="11">
        <v>22791.71</v>
      </c>
      <c r="I694" s="11">
        <v>22791.71</v>
      </c>
      <c r="J694" s="9" t="s">
        <v>89</v>
      </c>
      <c r="K694" s="9" t="s">
        <v>44</v>
      </c>
    </row>
    <row r="695" spans="1:11" x14ac:dyDescent="0.25">
      <c r="A695" s="8" t="s">
        <v>62</v>
      </c>
      <c r="B695" s="9" t="s">
        <v>63</v>
      </c>
      <c r="C695" s="9" t="s">
        <v>40</v>
      </c>
      <c r="D695" s="9" t="s">
        <v>102</v>
      </c>
      <c r="E695" s="10">
        <v>2016</v>
      </c>
      <c r="F695" s="10">
        <v>2017</v>
      </c>
      <c r="G695" s="9" t="s">
        <v>42</v>
      </c>
      <c r="H695" s="11">
        <v>86508.78</v>
      </c>
      <c r="I695" s="11">
        <v>86508.78</v>
      </c>
      <c r="J695" s="9" t="s">
        <v>89</v>
      </c>
      <c r="K695" s="9" t="s">
        <v>44</v>
      </c>
    </row>
    <row r="696" spans="1:11" x14ac:dyDescent="0.25">
      <c r="A696" s="8" t="s">
        <v>62</v>
      </c>
      <c r="B696" s="9" t="s">
        <v>63</v>
      </c>
      <c r="C696" s="9" t="s">
        <v>40</v>
      </c>
      <c r="D696" s="9" t="s">
        <v>102</v>
      </c>
      <c r="E696" s="10">
        <v>2016</v>
      </c>
      <c r="F696" s="10">
        <v>2017</v>
      </c>
      <c r="G696" s="9" t="s">
        <v>45</v>
      </c>
      <c r="H696" s="11">
        <v>470.15</v>
      </c>
      <c r="I696" s="11">
        <v>470.15</v>
      </c>
      <c r="J696" s="9" t="s">
        <v>89</v>
      </c>
      <c r="K696" s="9" t="s">
        <v>44</v>
      </c>
    </row>
    <row r="697" spans="1:11" x14ac:dyDescent="0.25">
      <c r="A697" s="8" t="s">
        <v>62</v>
      </c>
      <c r="B697" s="9" t="s">
        <v>63</v>
      </c>
      <c r="C697" s="9" t="s">
        <v>40</v>
      </c>
      <c r="D697" s="9" t="s">
        <v>102</v>
      </c>
      <c r="E697" s="10">
        <v>2016</v>
      </c>
      <c r="F697" s="10">
        <v>2017</v>
      </c>
      <c r="G697" s="9" t="s">
        <v>46</v>
      </c>
      <c r="H697" s="11">
        <v>44627.14</v>
      </c>
      <c r="I697" s="11">
        <v>44627.14</v>
      </c>
      <c r="J697" s="9" t="s">
        <v>89</v>
      </c>
      <c r="K697" s="9" t="s">
        <v>44</v>
      </c>
    </row>
    <row r="698" spans="1:11" x14ac:dyDescent="0.25">
      <c r="A698" s="8" t="s">
        <v>62</v>
      </c>
      <c r="B698" s="9" t="s">
        <v>63</v>
      </c>
      <c r="C698" s="9" t="s">
        <v>40</v>
      </c>
      <c r="D698" s="9" t="s">
        <v>102</v>
      </c>
      <c r="E698" s="10">
        <v>2016</v>
      </c>
      <c r="F698" s="10">
        <v>2017</v>
      </c>
      <c r="G698" s="9" t="s">
        <v>50</v>
      </c>
      <c r="H698" s="11">
        <v>6619.39</v>
      </c>
      <c r="I698" s="11">
        <v>6619.39</v>
      </c>
      <c r="J698" s="9" t="s">
        <v>89</v>
      </c>
      <c r="K698" s="9" t="s">
        <v>44</v>
      </c>
    </row>
    <row r="699" spans="1:11" x14ac:dyDescent="0.25">
      <c r="A699" s="8" t="s">
        <v>65</v>
      </c>
      <c r="B699" s="9" t="s">
        <v>66</v>
      </c>
      <c r="C699" s="9" t="s">
        <v>40</v>
      </c>
      <c r="D699" s="9" t="s">
        <v>102</v>
      </c>
      <c r="E699" s="10">
        <v>2016</v>
      </c>
      <c r="F699" s="10">
        <v>2017</v>
      </c>
      <c r="G699" s="9" t="s">
        <v>42</v>
      </c>
      <c r="H699" s="11">
        <v>1519.05</v>
      </c>
      <c r="I699" s="11">
        <v>1519.05</v>
      </c>
      <c r="J699" s="9" t="s">
        <v>89</v>
      </c>
      <c r="K699" s="9" t="s">
        <v>44</v>
      </c>
    </row>
    <row r="700" spans="1:11" x14ac:dyDescent="0.25">
      <c r="A700" s="8" t="s">
        <v>65</v>
      </c>
      <c r="B700" s="9" t="s">
        <v>66</v>
      </c>
      <c r="C700" s="9" t="s">
        <v>40</v>
      </c>
      <c r="D700" s="9" t="s">
        <v>102</v>
      </c>
      <c r="E700" s="10">
        <v>2016</v>
      </c>
      <c r="F700" s="10">
        <v>2017</v>
      </c>
      <c r="G700" s="9" t="s">
        <v>45</v>
      </c>
      <c r="H700" s="11">
        <v>13.06</v>
      </c>
      <c r="I700" s="11">
        <v>13.06</v>
      </c>
      <c r="J700" s="9" t="s">
        <v>89</v>
      </c>
      <c r="K700" s="9" t="s">
        <v>44</v>
      </c>
    </row>
    <row r="701" spans="1:11" x14ac:dyDescent="0.25">
      <c r="A701" s="8" t="s">
        <v>65</v>
      </c>
      <c r="B701" s="9" t="s">
        <v>66</v>
      </c>
      <c r="C701" s="9" t="s">
        <v>40</v>
      </c>
      <c r="D701" s="9" t="s">
        <v>102</v>
      </c>
      <c r="E701" s="10">
        <v>2016</v>
      </c>
      <c r="F701" s="10">
        <v>2017</v>
      </c>
      <c r="G701" s="9" t="s">
        <v>46</v>
      </c>
      <c r="H701" s="11">
        <v>7800.15</v>
      </c>
      <c r="I701" s="11">
        <v>7800.15</v>
      </c>
      <c r="J701" s="9" t="s">
        <v>89</v>
      </c>
      <c r="K701" s="9" t="s">
        <v>44</v>
      </c>
    </row>
    <row r="702" spans="1:11" x14ac:dyDescent="0.25">
      <c r="A702" s="8" t="s">
        <v>67</v>
      </c>
      <c r="B702" s="9" t="s">
        <v>68</v>
      </c>
      <c r="C702" s="9" t="s">
        <v>69</v>
      </c>
      <c r="D702" s="9" t="s">
        <v>102</v>
      </c>
      <c r="E702" s="10">
        <v>2016</v>
      </c>
      <c r="F702" s="10">
        <v>2017</v>
      </c>
      <c r="G702" s="9" t="s">
        <v>42</v>
      </c>
      <c r="H702" s="11">
        <v>69025.399999999994</v>
      </c>
      <c r="I702" s="11">
        <v>69025.399999999994</v>
      </c>
      <c r="J702" s="9" t="s">
        <v>89</v>
      </c>
      <c r="K702" s="9" t="s">
        <v>44</v>
      </c>
    </row>
    <row r="703" spans="1:11" x14ac:dyDescent="0.25">
      <c r="A703" s="8" t="s">
        <v>67</v>
      </c>
      <c r="B703" s="9" t="s">
        <v>68</v>
      </c>
      <c r="C703" s="9" t="s">
        <v>69</v>
      </c>
      <c r="D703" s="9" t="s">
        <v>102</v>
      </c>
      <c r="E703" s="10">
        <v>2016</v>
      </c>
      <c r="F703" s="10">
        <v>2017</v>
      </c>
      <c r="G703" s="9" t="s">
        <v>45</v>
      </c>
      <c r="H703" s="11">
        <v>242.73</v>
      </c>
      <c r="I703" s="11">
        <v>242.73</v>
      </c>
      <c r="J703" s="9" t="s">
        <v>89</v>
      </c>
      <c r="K703" s="9" t="s">
        <v>44</v>
      </c>
    </row>
    <row r="704" spans="1:11" x14ac:dyDescent="0.25">
      <c r="A704" s="8" t="s">
        <v>67</v>
      </c>
      <c r="B704" s="9" t="s">
        <v>68</v>
      </c>
      <c r="C704" s="9" t="s">
        <v>69</v>
      </c>
      <c r="D704" s="9" t="s">
        <v>102</v>
      </c>
      <c r="E704" s="10">
        <v>2016</v>
      </c>
      <c r="F704" s="10">
        <v>2017</v>
      </c>
      <c r="G704" s="9" t="s">
        <v>46</v>
      </c>
      <c r="H704" s="11">
        <v>22755.21</v>
      </c>
      <c r="I704" s="11">
        <v>22755.21</v>
      </c>
      <c r="J704" s="9" t="s">
        <v>89</v>
      </c>
      <c r="K704" s="9" t="s">
        <v>44</v>
      </c>
    </row>
    <row r="705" spans="1:11" x14ac:dyDescent="0.25">
      <c r="A705" s="8" t="s">
        <v>67</v>
      </c>
      <c r="B705" s="9" t="s">
        <v>68</v>
      </c>
      <c r="C705" s="9" t="s">
        <v>69</v>
      </c>
      <c r="D705" s="9" t="s">
        <v>102</v>
      </c>
      <c r="E705" s="10">
        <v>2016</v>
      </c>
      <c r="F705" s="10">
        <v>2017</v>
      </c>
      <c r="G705" s="9" t="s">
        <v>50</v>
      </c>
      <c r="H705" s="11">
        <v>32870.400000000001</v>
      </c>
      <c r="I705" s="11">
        <v>32870.400000000001</v>
      </c>
      <c r="J705" s="9" t="s">
        <v>89</v>
      </c>
      <c r="K705" s="9" t="s">
        <v>44</v>
      </c>
    </row>
    <row r="706" spans="1:11" x14ac:dyDescent="0.25">
      <c r="A706" s="8" t="s">
        <v>70</v>
      </c>
      <c r="B706" s="9" t="s">
        <v>71</v>
      </c>
      <c r="C706" s="9" t="s">
        <v>49</v>
      </c>
      <c r="D706" s="9" t="s">
        <v>102</v>
      </c>
      <c r="E706" s="10">
        <v>2016</v>
      </c>
      <c r="F706" s="10">
        <v>2017</v>
      </c>
      <c r="G706" s="9" t="s">
        <v>42</v>
      </c>
      <c r="H706" s="11">
        <v>62108.21</v>
      </c>
      <c r="I706" s="11">
        <v>62108.21</v>
      </c>
      <c r="J706" s="9" t="s">
        <v>89</v>
      </c>
      <c r="K706" s="9" t="s">
        <v>44</v>
      </c>
    </row>
    <row r="707" spans="1:11" x14ac:dyDescent="0.25">
      <c r="A707" s="8" t="s">
        <v>70</v>
      </c>
      <c r="B707" s="9" t="s">
        <v>71</v>
      </c>
      <c r="C707" s="9" t="s">
        <v>49</v>
      </c>
      <c r="D707" s="9" t="s">
        <v>102</v>
      </c>
      <c r="E707" s="10">
        <v>2016</v>
      </c>
      <c r="F707" s="10">
        <v>2017</v>
      </c>
      <c r="G707" s="9" t="s">
        <v>45</v>
      </c>
      <c r="H707" s="11">
        <v>517.24</v>
      </c>
      <c r="I707" s="11">
        <v>517.24</v>
      </c>
      <c r="J707" s="9" t="s">
        <v>89</v>
      </c>
      <c r="K707" s="9" t="s">
        <v>44</v>
      </c>
    </row>
    <row r="708" spans="1:11" x14ac:dyDescent="0.25">
      <c r="A708" s="8" t="s">
        <v>70</v>
      </c>
      <c r="B708" s="9" t="s">
        <v>71</v>
      </c>
      <c r="C708" s="9" t="s">
        <v>49</v>
      </c>
      <c r="D708" s="9" t="s">
        <v>102</v>
      </c>
      <c r="E708" s="10">
        <v>2016</v>
      </c>
      <c r="F708" s="10">
        <v>2017</v>
      </c>
      <c r="G708" s="9" t="s">
        <v>46</v>
      </c>
      <c r="H708" s="11">
        <v>37234.269999999997</v>
      </c>
      <c r="I708" s="11">
        <v>37234.269999999997</v>
      </c>
      <c r="J708" s="9" t="s">
        <v>89</v>
      </c>
      <c r="K708" s="9" t="s">
        <v>44</v>
      </c>
    </row>
    <row r="709" spans="1:11" x14ac:dyDescent="0.25">
      <c r="A709" s="8" t="s">
        <v>70</v>
      </c>
      <c r="B709" s="9" t="s">
        <v>71</v>
      </c>
      <c r="C709" s="9" t="s">
        <v>49</v>
      </c>
      <c r="D709" s="9" t="s">
        <v>102</v>
      </c>
      <c r="E709" s="10">
        <v>2016</v>
      </c>
      <c r="F709" s="10">
        <v>2017</v>
      </c>
      <c r="G709" s="9" t="s">
        <v>50</v>
      </c>
      <c r="H709" s="11">
        <v>6028.1</v>
      </c>
      <c r="I709" s="11">
        <v>6028.1</v>
      </c>
      <c r="J709" s="9" t="s">
        <v>89</v>
      </c>
      <c r="K709" s="9" t="s">
        <v>44</v>
      </c>
    </row>
    <row r="710" spans="1:11" x14ac:dyDescent="0.25">
      <c r="A710" s="8" t="s">
        <v>72</v>
      </c>
      <c r="B710" s="9" t="s">
        <v>73</v>
      </c>
      <c r="C710" s="9" t="s">
        <v>53</v>
      </c>
      <c r="D710" s="9" t="s">
        <v>102</v>
      </c>
      <c r="E710" s="10">
        <v>2016</v>
      </c>
      <c r="F710" s="10">
        <v>2017</v>
      </c>
      <c r="G710" s="9" t="s">
        <v>42</v>
      </c>
      <c r="H710" s="11">
        <v>14241.75</v>
      </c>
      <c r="I710" s="11">
        <v>14241.75</v>
      </c>
      <c r="J710" s="9" t="s">
        <v>89</v>
      </c>
      <c r="K710" s="9" t="s">
        <v>44</v>
      </c>
    </row>
    <row r="711" spans="1:11" x14ac:dyDescent="0.25">
      <c r="A711" s="8" t="s">
        <v>72</v>
      </c>
      <c r="B711" s="9" t="s">
        <v>73</v>
      </c>
      <c r="C711" s="9" t="s">
        <v>53</v>
      </c>
      <c r="D711" s="9" t="s">
        <v>102</v>
      </c>
      <c r="E711" s="10">
        <v>2016</v>
      </c>
      <c r="F711" s="10">
        <v>2017</v>
      </c>
      <c r="G711" s="9" t="s">
        <v>45</v>
      </c>
      <c r="H711" s="11">
        <v>32.229999999999997</v>
      </c>
      <c r="I711" s="11">
        <v>32.229999999999997</v>
      </c>
      <c r="J711" s="9" t="s">
        <v>89</v>
      </c>
      <c r="K711" s="9" t="s">
        <v>44</v>
      </c>
    </row>
    <row r="712" spans="1:11" x14ac:dyDescent="0.25">
      <c r="A712" s="8" t="s">
        <v>72</v>
      </c>
      <c r="B712" s="9" t="s">
        <v>73</v>
      </c>
      <c r="C712" s="9" t="s">
        <v>53</v>
      </c>
      <c r="D712" s="9" t="s">
        <v>102</v>
      </c>
      <c r="E712" s="10">
        <v>2016</v>
      </c>
      <c r="F712" s="10">
        <v>2017</v>
      </c>
      <c r="G712" s="9" t="s">
        <v>46</v>
      </c>
      <c r="H712" s="11">
        <v>110720.65</v>
      </c>
      <c r="I712" s="11">
        <v>110720.65</v>
      </c>
      <c r="J712" s="9" t="s">
        <v>89</v>
      </c>
      <c r="K712" s="9" t="s">
        <v>44</v>
      </c>
    </row>
    <row r="713" spans="1:11" x14ac:dyDescent="0.25">
      <c r="A713" s="8" t="s">
        <v>72</v>
      </c>
      <c r="B713" s="9" t="s">
        <v>73</v>
      </c>
      <c r="C713" s="9" t="s">
        <v>53</v>
      </c>
      <c r="D713" s="9" t="s">
        <v>102</v>
      </c>
      <c r="E713" s="10">
        <v>2016</v>
      </c>
      <c r="F713" s="10">
        <v>2017</v>
      </c>
      <c r="G713" s="9" t="s">
        <v>64</v>
      </c>
      <c r="H713" s="11">
        <v>19.66</v>
      </c>
      <c r="I713" s="11">
        <v>19.66</v>
      </c>
      <c r="J713" s="9" t="s">
        <v>89</v>
      </c>
      <c r="K713" s="9" t="s">
        <v>44</v>
      </c>
    </row>
    <row r="714" spans="1:11" x14ac:dyDescent="0.25">
      <c r="A714" s="8" t="s">
        <v>72</v>
      </c>
      <c r="B714" s="9" t="s">
        <v>73</v>
      </c>
      <c r="C714" s="9" t="s">
        <v>53</v>
      </c>
      <c r="D714" s="9" t="s">
        <v>102</v>
      </c>
      <c r="E714" s="10">
        <v>2016</v>
      </c>
      <c r="F714" s="10">
        <v>2017</v>
      </c>
      <c r="G714" s="9" t="s">
        <v>50</v>
      </c>
      <c r="H714" s="11">
        <v>0.06</v>
      </c>
      <c r="I714" s="11">
        <v>0.06</v>
      </c>
      <c r="J714" s="9" t="s">
        <v>89</v>
      </c>
      <c r="K714" s="9" t="s">
        <v>44</v>
      </c>
    </row>
    <row r="715" spans="1:11" x14ac:dyDescent="0.25">
      <c r="A715" s="8" t="s">
        <v>74</v>
      </c>
      <c r="B715" s="9" t="s">
        <v>75</v>
      </c>
      <c r="C715" s="9" t="s">
        <v>40</v>
      </c>
      <c r="D715" s="9" t="s">
        <v>102</v>
      </c>
      <c r="E715" s="10">
        <v>2016</v>
      </c>
      <c r="F715" s="10">
        <v>2017</v>
      </c>
      <c r="G715" s="9" t="s">
        <v>42</v>
      </c>
      <c r="H715" s="11">
        <v>13893.21</v>
      </c>
      <c r="I715" s="11">
        <v>13893.21</v>
      </c>
      <c r="J715" s="9" t="s">
        <v>89</v>
      </c>
      <c r="K715" s="9" t="s">
        <v>44</v>
      </c>
    </row>
    <row r="716" spans="1:11" x14ac:dyDescent="0.25">
      <c r="A716" s="8" t="s">
        <v>74</v>
      </c>
      <c r="B716" s="9" t="s">
        <v>75</v>
      </c>
      <c r="C716" s="9" t="s">
        <v>40</v>
      </c>
      <c r="D716" s="9" t="s">
        <v>102</v>
      </c>
      <c r="E716" s="10">
        <v>2016</v>
      </c>
      <c r="F716" s="10">
        <v>2017</v>
      </c>
      <c r="G716" s="9" t="s">
        <v>45</v>
      </c>
      <c r="H716" s="11">
        <v>39.28</v>
      </c>
      <c r="I716" s="11">
        <v>39.28</v>
      </c>
      <c r="J716" s="9" t="s">
        <v>89</v>
      </c>
      <c r="K716" s="9" t="s">
        <v>44</v>
      </c>
    </row>
    <row r="717" spans="1:11" x14ac:dyDescent="0.25">
      <c r="A717" s="8" t="s">
        <v>74</v>
      </c>
      <c r="B717" s="9" t="s">
        <v>75</v>
      </c>
      <c r="C717" s="9" t="s">
        <v>40</v>
      </c>
      <c r="D717" s="9" t="s">
        <v>102</v>
      </c>
      <c r="E717" s="10">
        <v>2016</v>
      </c>
      <c r="F717" s="10">
        <v>2017</v>
      </c>
      <c r="G717" s="9" t="s">
        <v>46</v>
      </c>
      <c r="H717" s="11">
        <v>29278.84</v>
      </c>
      <c r="I717" s="11">
        <v>29278.84</v>
      </c>
      <c r="J717" s="9" t="s">
        <v>89</v>
      </c>
      <c r="K717" s="9" t="s">
        <v>44</v>
      </c>
    </row>
    <row r="718" spans="1:11" x14ac:dyDescent="0.25">
      <c r="A718" s="8" t="s">
        <v>74</v>
      </c>
      <c r="B718" s="9" t="s">
        <v>75</v>
      </c>
      <c r="C718" s="9" t="s">
        <v>40</v>
      </c>
      <c r="D718" s="9" t="s">
        <v>102</v>
      </c>
      <c r="E718" s="10">
        <v>2016</v>
      </c>
      <c r="F718" s="10">
        <v>2017</v>
      </c>
      <c r="G718" s="9" t="s">
        <v>50</v>
      </c>
      <c r="H718" s="11">
        <v>144.81</v>
      </c>
      <c r="I718" s="11">
        <v>144.81</v>
      </c>
      <c r="J718" s="9" t="s">
        <v>89</v>
      </c>
      <c r="K718" s="9" t="s">
        <v>44</v>
      </c>
    </row>
    <row r="719" spans="1:11" x14ac:dyDescent="0.25">
      <c r="A719" s="8" t="s">
        <v>76</v>
      </c>
      <c r="B719" s="9" t="s">
        <v>77</v>
      </c>
      <c r="C719" s="9" t="s">
        <v>53</v>
      </c>
      <c r="D719" s="9" t="s">
        <v>102</v>
      </c>
      <c r="E719" s="10">
        <v>2016</v>
      </c>
      <c r="F719" s="10">
        <v>2017</v>
      </c>
      <c r="G719" s="9" t="s">
        <v>42</v>
      </c>
      <c r="H719" s="11">
        <v>67.510000000000005</v>
      </c>
      <c r="I719" s="11">
        <v>67.510000000000005</v>
      </c>
      <c r="J719" s="9" t="s">
        <v>89</v>
      </c>
      <c r="K719" s="9" t="s">
        <v>44</v>
      </c>
    </row>
    <row r="720" spans="1:11" x14ac:dyDescent="0.25">
      <c r="A720" s="8" t="s">
        <v>76</v>
      </c>
      <c r="B720" s="9" t="s">
        <v>77</v>
      </c>
      <c r="C720" s="9" t="s">
        <v>53</v>
      </c>
      <c r="D720" s="9" t="s">
        <v>102</v>
      </c>
      <c r="E720" s="10">
        <v>2016</v>
      </c>
      <c r="F720" s="10">
        <v>2017</v>
      </c>
      <c r="G720" s="9" t="s">
        <v>46</v>
      </c>
      <c r="H720" s="11">
        <v>25015.82</v>
      </c>
      <c r="I720" s="11">
        <v>25015.82</v>
      </c>
      <c r="J720" s="9" t="s">
        <v>89</v>
      </c>
      <c r="K720" s="9" t="s">
        <v>44</v>
      </c>
    </row>
    <row r="721" spans="1:11" x14ac:dyDescent="0.25">
      <c r="A721" s="8" t="s">
        <v>78</v>
      </c>
      <c r="B721" s="9" t="s">
        <v>79</v>
      </c>
      <c r="C721" s="9" t="s">
        <v>53</v>
      </c>
      <c r="D721" s="9" t="s">
        <v>102</v>
      </c>
      <c r="E721" s="10">
        <v>2016</v>
      </c>
      <c r="F721" s="10">
        <v>2017</v>
      </c>
      <c r="G721" s="9" t="s">
        <v>42</v>
      </c>
      <c r="H721" s="11">
        <v>1406.95</v>
      </c>
      <c r="I721" s="11">
        <v>1406.95</v>
      </c>
      <c r="J721" s="9" t="s">
        <v>89</v>
      </c>
      <c r="K721" s="9" t="s">
        <v>44</v>
      </c>
    </row>
    <row r="722" spans="1:11" x14ac:dyDescent="0.25">
      <c r="A722" s="8" t="s">
        <v>78</v>
      </c>
      <c r="B722" s="9" t="s">
        <v>79</v>
      </c>
      <c r="C722" s="9" t="s">
        <v>53</v>
      </c>
      <c r="D722" s="9" t="s">
        <v>102</v>
      </c>
      <c r="E722" s="10">
        <v>2016</v>
      </c>
      <c r="F722" s="10">
        <v>2017</v>
      </c>
      <c r="G722" s="9" t="s">
        <v>45</v>
      </c>
      <c r="H722" s="11">
        <v>2.96</v>
      </c>
      <c r="I722" s="11">
        <v>2.96</v>
      </c>
      <c r="J722" s="9" t="s">
        <v>89</v>
      </c>
      <c r="K722" s="9" t="s">
        <v>44</v>
      </c>
    </row>
    <row r="723" spans="1:11" x14ac:dyDescent="0.25">
      <c r="A723" s="8" t="s">
        <v>78</v>
      </c>
      <c r="B723" s="9" t="s">
        <v>79</v>
      </c>
      <c r="C723" s="9" t="s">
        <v>53</v>
      </c>
      <c r="D723" s="9" t="s">
        <v>102</v>
      </c>
      <c r="E723" s="10">
        <v>2016</v>
      </c>
      <c r="F723" s="10">
        <v>2017</v>
      </c>
      <c r="G723" s="9" t="s">
        <v>46</v>
      </c>
      <c r="H723" s="11">
        <v>55092.98</v>
      </c>
      <c r="I723" s="11">
        <v>55092.98</v>
      </c>
      <c r="J723" s="9" t="s">
        <v>89</v>
      </c>
      <c r="K723" s="9" t="s">
        <v>44</v>
      </c>
    </row>
    <row r="724" spans="1:11" x14ac:dyDescent="0.25">
      <c r="A724" s="8" t="s">
        <v>78</v>
      </c>
      <c r="B724" s="9" t="s">
        <v>79</v>
      </c>
      <c r="C724" s="9" t="s">
        <v>53</v>
      </c>
      <c r="D724" s="9" t="s">
        <v>102</v>
      </c>
      <c r="E724" s="10">
        <v>2016</v>
      </c>
      <c r="F724" s="10">
        <v>2017</v>
      </c>
      <c r="G724" s="9" t="s">
        <v>50</v>
      </c>
      <c r="H724" s="11">
        <v>13.09</v>
      </c>
      <c r="I724" s="11">
        <v>13.09</v>
      </c>
      <c r="J724" s="9" t="s">
        <v>89</v>
      </c>
      <c r="K724" s="9" t="s">
        <v>44</v>
      </c>
    </row>
    <row r="725" spans="1:11" x14ac:dyDescent="0.25">
      <c r="A725" s="8" t="s">
        <v>80</v>
      </c>
      <c r="B725" s="9" t="s">
        <v>81</v>
      </c>
      <c r="C725" s="9" t="s">
        <v>49</v>
      </c>
      <c r="D725" s="9" t="s">
        <v>102</v>
      </c>
      <c r="E725" s="10">
        <v>2016</v>
      </c>
      <c r="F725" s="10">
        <v>2017</v>
      </c>
      <c r="G725" s="9" t="s">
        <v>42</v>
      </c>
      <c r="H725" s="11">
        <v>61093.440000000002</v>
      </c>
      <c r="I725" s="11">
        <v>61093.440000000002</v>
      </c>
      <c r="J725" s="9" t="s">
        <v>89</v>
      </c>
      <c r="K725" s="9" t="s">
        <v>44</v>
      </c>
    </row>
    <row r="726" spans="1:11" x14ac:dyDescent="0.25">
      <c r="A726" s="8" t="s">
        <v>80</v>
      </c>
      <c r="B726" s="9" t="s">
        <v>81</v>
      </c>
      <c r="C726" s="9" t="s">
        <v>49</v>
      </c>
      <c r="D726" s="9" t="s">
        <v>102</v>
      </c>
      <c r="E726" s="10">
        <v>2016</v>
      </c>
      <c r="F726" s="10">
        <v>2017</v>
      </c>
      <c r="G726" s="9" t="s">
        <v>45</v>
      </c>
      <c r="H726" s="11">
        <v>734.38</v>
      </c>
      <c r="I726" s="11">
        <v>734.38</v>
      </c>
      <c r="J726" s="9" t="s">
        <v>89</v>
      </c>
      <c r="K726" s="9" t="s">
        <v>44</v>
      </c>
    </row>
    <row r="727" spans="1:11" x14ac:dyDescent="0.25">
      <c r="A727" s="8" t="s">
        <v>80</v>
      </c>
      <c r="B727" s="9" t="s">
        <v>81</v>
      </c>
      <c r="C727" s="9" t="s">
        <v>49</v>
      </c>
      <c r="D727" s="9" t="s">
        <v>102</v>
      </c>
      <c r="E727" s="10">
        <v>2016</v>
      </c>
      <c r="F727" s="10">
        <v>2017</v>
      </c>
      <c r="G727" s="9" t="s">
        <v>46</v>
      </c>
      <c r="H727" s="11">
        <v>226104.46</v>
      </c>
      <c r="I727" s="11">
        <v>226104.46</v>
      </c>
      <c r="J727" s="9" t="s">
        <v>89</v>
      </c>
      <c r="K727" s="9" t="s">
        <v>44</v>
      </c>
    </row>
    <row r="728" spans="1:11" x14ac:dyDescent="0.25">
      <c r="A728" s="8" t="s">
        <v>80</v>
      </c>
      <c r="B728" s="9" t="s">
        <v>81</v>
      </c>
      <c r="C728" s="9" t="s">
        <v>49</v>
      </c>
      <c r="D728" s="9" t="s">
        <v>102</v>
      </c>
      <c r="E728" s="10">
        <v>2016</v>
      </c>
      <c r="F728" s="10">
        <v>2017</v>
      </c>
      <c r="G728" s="9" t="s">
        <v>64</v>
      </c>
      <c r="H728" s="11">
        <v>43.59</v>
      </c>
      <c r="I728" s="11">
        <v>43.59</v>
      </c>
      <c r="J728" s="9" t="s">
        <v>89</v>
      </c>
      <c r="K728" s="9" t="s">
        <v>44</v>
      </c>
    </row>
    <row r="729" spans="1:11" x14ac:dyDescent="0.25">
      <c r="A729" s="8" t="s">
        <v>80</v>
      </c>
      <c r="B729" s="9" t="s">
        <v>81</v>
      </c>
      <c r="C729" s="9" t="s">
        <v>49</v>
      </c>
      <c r="D729" s="9" t="s">
        <v>102</v>
      </c>
      <c r="E729" s="10">
        <v>2016</v>
      </c>
      <c r="F729" s="10">
        <v>2017</v>
      </c>
      <c r="G729" s="9" t="s">
        <v>50</v>
      </c>
      <c r="H729" s="11">
        <v>675.16</v>
      </c>
      <c r="I729" s="11">
        <v>675.16</v>
      </c>
      <c r="J729" s="9" t="s">
        <v>89</v>
      </c>
      <c r="K729" s="9" t="s">
        <v>44</v>
      </c>
    </row>
    <row r="730" spans="1:11" x14ac:dyDescent="0.25">
      <c r="A730" s="8" t="s">
        <v>82</v>
      </c>
      <c r="B730" s="9" t="s">
        <v>83</v>
      </c>
      <c r="C730" s="9" t="s">
        <v>40</v>
      </c>
      <c r="D730" s="9" t="s">
        <v>102</v>
      </c>
      <c r="E730" s="10">
        <v>2016</v>
      </c>
      <c r="F730" s="10">
        <v>2017</v>
      </c>
      <c r="G730" s="9" t="s">
        <v>42</v>
      </c>
      <c r="H730" s="11">
        <v>4389.6899999999996</v>
      </c>
      <c r="I730" s="11">
        <v>4389.6899999999996</v>
      </c>
      <c r="J730" s="9" t="s">
        <v>89</v>
      </c>
      <c r="K730" s="9" t="s">
        <v>44</v>
      </c>
    </row>
    <row r="731" spans="1:11" x14ac:dyDescent="0.25">
      <c r="A731" s="8" t="s">
        <v>82</v>
      </c>
      <c r="B731" s="9" t="s">
        <v>83</v>
      </c>
      <c r="C731" s="9" t="s">
        <v>40</v>
      </c>
      <c r="D731" s="9" t="s">
        <v>102</v>
      </c>
      <c r="E731" s="10">
        <v>2016</v>
      </c>
      <c r="F731" s="10">
        <v>2017</v>
      </c>
      <c r="G731" s="9" t="s">
        <v>45</v>
      </c>
      <c r="H731" s="11">
        <v>39.22</v>
      </c>
      <c r="I731" s="11">
        <v>39.22</v>
      </c>
      <c r="J731" s="9" t="s">
        <v>89</v>
      </c>
      <c r="K731" s="9" t="s">
        <v>44</v>
      </c>
    </row>
    <row r="732" spans="1:11" x14ac:dyDescent="0.25">
      <c r="A732" s="8" t="s">
        <v>82</v>
      </c>
      <c r="B732" s="9" t="s">
        <v>83</v>
      </c>
      <c r="C732" s="9" t="s">
        <v>40</v>
      </c>
      <c r="D732" s="9" t="s">
        <v>102</v>
      </c>
      <c r="E732" s="10">
        <v>2016</v>
      </c>
      <c r="F732" s="10">
        <v>2017</v>
      </c>
      <c r="G732" s="9" t="s">
        <v>46</v>
      </c>
      <c r="H732" s="11">
        <v>22135.61</v>
      </c>
      <c r="I732" s="11">
        <v>22135.61</v>
      </c>
      <c r="J732" s="9" t="s">
        <v>89</v>
      </c>
      <c r="K732" s="9" t="s">
        <v>44</v>
      </c>
    </row>
    <row r="733" spans="1:11" x14ac:dyDescent="0.25">
      <c r="A733" s="8" t="s">
        <v>84</v>
      </c>
      <c r="B733" s="9" t="s">
        <v>85</v>
      </c>
      <c r="C733" s="9" t="s">
        <v>85</v>
      </c>
      <c r="D733" s="9" t="s">
        <v>102</v>
      </c>
      <c r="E733" s="10">
        <v>2016</v>
      </c>
      <c r="F733" s="10">
        <v>2017</v>
      </c>
      <c r="G733" s="9" t="s">
        <v>42</v>
      </c>
      <c r="H733" s="11">
        <v>162703.85</v>
      </c>
      <c r="I733" s="11">
        <v>162703.85</v>
      </c>
      <c r="J733" s="9" t="s">
        <v>89</v>
      </c>
      <c r="K733" s="9" t="s">
        <v>44</v>
      </c>
    </row>
    <row r="734" spans="1:11" x14ac:dyDescent="0.25">
      <c r="A734" s="8" t="s">
        <v>84</v>
      </c>
      <c r="B734" s="9" t="s">
        <v>85</v>
      </c>
      <c r="C734" s="9" t="s">
        <v>85</v>
      </c>
      <c r="D734" s="9" t="s">
        <v>102</v>
      </c>
      <c r="E734" s="10">
        <v>2016</v>
      </c>
      <c r="F734" s="10">
        <v>2017</v>
      </c>
      <c r="G734" s="9" t="s">
        <v>45</v>
      </c>
      <c r="H734" s="11">
        <v>656.33</v>
      </c>
      <c r="I734" s="11">
        <v>656.33</v>
      </c>
      <c r="J734" s="9" t="s">
        <v>89</v>
      </c>
      <c r="K734" s="9" t="s">
        <v>44</v>
      </c>
    </row>
    <row r="735" spans="1:11" x14ac:dyDescent="0.25">
      <c r="A735" s="8" t="s">
        <v>84</v>
      </c>
      <c r="B735" s="9" t="s">
        <v>85</v>
      </c>
      <c r="C735" s="9" t="s">
        <v>85</v>
      </c>
      <c r="D735" s="9" t="s">
        <v>102</v>
      </c>
      <c r="E735" s="10">
        <v>2016</v>
      </c>
      <c r="F735" s="10">
        <v>2017</v>
      </c>
      <c r="G735" s="9" t="s">
        <v>46</v>
      </c>
      <c r="H735" s="11">
        <v>76365.42</v>
      </c>
      <c r="I735" s="11">
        <v>76365.42</v>
      </c>
      <c r="J735" s="9" t="s">
        <v>89</v>
      </c>
      <c r="K735" s="9" t="s">
        <v>44</v>
      </c>
    </row>
    <row r="736" spans="1:11" x14ac:dyDescent="0.25">
      <c r="A736" s="8" t="s">
        <v>84</v>
      </c>
      <c r="B736" s="9" t="s">
        <v>85</v>
      </c>
      <c r="C736" s="9" t="s">
        <v>85</v>
      </c>
      <c r="D736" s="9" t="s">
        <v>102</v>
      </c>
      <c r="E736" s="10">
        <v>2016</v>
      </c>
      <c r="F736" s="10">
        <v>2017</v>
      </c>
      <c r="G736" s="9" t="s">
        <v>50</v>
      </c>
      <c r="H736" s="11">
        <v>14536.4</v>
      </c>
      <c r="I736" s="11">
        <v>14536.4</v>
      </c>
      <c r="J736" s="9" t="s">
        <v>89</v>
      </c>
      <c r="K736" s="9" t="s">
        <v>44</v>
      </c>
    </row>
    <row r="737" spans="1:11" x14ac:dyDescent="0.25">
      <c r="A737" s="8" t="s">
        <v>86</v>
      </c>
      <c r="B737" s="9" t="s">
        <v>87</v>
      </c>
      <c r="C737" s="9" t="s">
        <v>69</v>
      </c>
      <c r="D737" s="9" t="s">
        <v>102</v>
      </c>
      <c r="E737" s="10">
        <v>2016</v>
      </c>
      <c r="F737" s="10">
        <v>2017</v>
      </c>
      <c r="G737" s="9" t="s">
        <v>42</v>
      </c>
      <c r="H737" s="11">
        <v>111916.85</v>
      </c>
      <c r="I737" s="11">
        <v>111916.85</v>
      </c>
      <c r="J737" s="9" t="s">
        <v>89</v>
      </c>
      <c r="K737" s="9" t="s">
        <v>44</v>
      </c>
    </row>
    <row r="738" spans="1:11" x14ac:dyDescent="0.25">
      <c r="A738" s="8" t="s">
        <v>86</v>
      </c>
      <c r="B738" s="9" t="s">
        <v>87</v>
      </c>
      <c r="C738" s="9" t="s">
        <v>69</v>
      </c>
      <c r="D738" s="9" t="s">
        <v>102</v>
      </c>
      <c r="E738" s="10">
        <v>2016</v>
      </c>
      <c r="F738" s="10">
        <v>2017</v>
      </c>
      <c r="G738" s="9" t="s">
        <v>45</v>
      </c>
      <c r="H738" s="11">
        <v>110.78</v>
      </c>
      <c r="I738" s="11">
        <v>110.78</v>
      </c>
      <c r="J738" s="9" t="s">
        <v>89</v>
      </c>
      <c r="K738" s="9" t="s">
        <v>44</v>
      </c>
    </row>
    <row r="739" spans="1:11" x14ac:dyDescent="0.25">
      <c r="A739" s="8" t="s">
        <v>86</v>
      </c>
      <c r="B739" s="9" t="s">
        <v>87</v>
      </c>
      <c r="C739" s="9" t="s">
        <v>69</v>
      </c>
      <c r="D739" s="9" t="s">
        <v>102</v>
      </c>
      <c r="E739" s="10">
        <v>2016</v>
      </c>
      <c r="F739" s="10">
        <v>2017</v>
      </c>
      <c r="G739" s="9" t="s">
        <v>46</v>
      </c>
      <c r="H739" s="11">
        <v>19781.509999999998</v>
      </c>
      <c r="I739" s="11">
        <v>19781.509999999998</v>
      </c>
      <c r="J739" s="9" t="s">
        <v>89</v>
      </c>
      <c r="K739" s="9" t="s">
        <v>44</v>
      </c>
    </row>
    <row r="740" spans="1:11" x14ac:dyDescent="0.25">
      <c r="A740" s="8" t="s">
        <v>86</v>
      </c>
      <c r="B740" s="9" t="s">
        <v>87</v>
      </c>
      <c r="C740" s="9" t="s">
        <v>69</v>
      </c>
      <c r="D740" s="9" t="s">
        <v>102</v>
      </c>
      <c r="E740" s="10">
        <v>2016</v>
      </c>
      <c r="F740" s="10">
        <v>2017</v>
      </c>
      <c r="G740" s="9" t="s">
        <v>50</v>
      </c>
      <c r="H740" s="11">
        <v>33634.910000000003</v>
      </c>
      <c r="I740" s="11">
        <v>33634.910000000003</v>
      </c>
      <c r="J740" s="9" t="s">
        <v>89</v>
      </c>
      <c r="K740" s="9" t="s">
        <v>44</v>
      </c>
    </row>
    <row r="741" spans="1:11" x14ac:dyDescent="0.25">
      <c r="A741" s="8" t="s">
        <v>38</v>
      </c>
      <c r="B741" s="9" t="s">
        <v>39</v>
      </c>
      <c r="C741" s="9" t="s">
        <v>40</v>
      </c>
      <c r="D741" s="9" t="s">
        <v>103</v>
      </c>
      <c r="E741" s="10">
        <v>2017</v>
      </c>
      <c r="F741" s="10">
        <v>2018</v>
      </c>
      <c r="G741" s="9" t="s">
        <v>42</v>
      </c>
      <c r="H741" s="11">
        <v>13654.53</v>
      </c>
      <c r="I741" s="11">
        <v>13654.53</v>
      </c>
      <c r="J741" s="9" t="s">
        <v>89</v>
      </c>
      <c r="K741" s="9" t="s">
        <v>44</v>
      </c>
    </row>
    <row r="742" spans="1:11" x14ac:dyDescent="0.25">
      <c r="A742" s="8" t="s">
        <v>38</v>
      </c>
      <c r="B742" s="9" t="s">
        <v>39</v>
      </c>
      <c r="C742" s="9" t="s">
        <v>40</v>
      </c>
      <c r="D742" s="9" t="s">
        <v>103</v>
      </c>
      <c r="E742" s="10">
        <v>2017</v>
      </c>
      <c r="F742" s="10">
        <v>2018</v>
      </c>
      <c r="G742" s="9" t="s">
        <v>45</v>
      </c>
      <c r="H742" s="11">
        <v>4.28</v>
      </c>
      <c r="I742" s="11">
        <v>4.28</v>
      </c>
      <c r="J742" s="9" t="s">
        <v>89</v>
      </c>
      <c r="K742" s="9" t="s">
        <v>44</v>
      </c>
    </row>
    <row r="743" spans="1:11" x14ac:dyDescent="0.25">
      <c r="A743" s="8" t="s">
        <v>38</v>
      </c>
      <c r="B743" s="9" t="s">
        <v>39</v>
      </c>
      <c r="C743" s="9" t="s">
        <v>40</v>
      </c>
      <c r="D743" s="9" t="s">
        <v>103</v>
      </c>
      <c r="E743" s="10">
        <v>2017</v>
      </c>
      <c r="F743" s="10">
        <v>2018</v>
      </c>
      <c r="G743" s="9" t="s">
        <v>46</v>
      </c>
      <c r="H743" s="11">
        <v>16002.85</v>
      </c>
      <c r="I743" s="11">
        <v>16002.85</v>
      </c>
      <c r="J743" s="9" t="s">
        <v>89</v>
      </c>
      <c r="K743" s="9" t="s">
        <v>44</v>
      </c>
    </row>
    <row r="744" spans="1:11" x14ac:dyDescent="0.25">
      <c r="A744" s="8" t="s">
        <v>38</v>
      </c>
      <c r="B744" s="9" t="s">
        <v>39</v>
      </c>
      <c r="C744" s="9" t="s">
        <v>40</v>
      </c>
      <c r="D744" s="9" t="s">
        <v>103</v>
      </c>
      <c r="E744" s="10">
        <v>2017</v>
      </c>
      <c r="F744" s="10">
        <v>2018</v>
      </c>
      <c r="G744" s="9" t="s">
        <v>50</v>
      </c>
      <c r="H744" s="11">
        <v>1.32</v>
      </c>
      <c r="I744" s="11">
        <v>1.32</v>
      </c>
      <c r="J744" s="9" t="s">
        <v>89</v>
      </c>
      <c r="K744" s="9" t="s">
        <v>44</v>
      </c>
    </row>
    <row r="745" spans="1:11" x14ac:dyDescent="0.25">
      <c r="A745" s="8" t="s">
        <v>47</v>
      </c>
      <c r="B745" s="9" t="s">
        <v>48</v>
      </c>
      <c r="C745" s="9" t="s">
        <v>49</v>
      </c>
      <c r="D745" s="9" t="s">
        <v>103</v>
      </c>
      <c r="E745" s="10">
        <v>2017</v>
      </c>
      <c r="F745" s="10">
        <v>2018</v>
      </c>
      <c r="G745" s="9" t="s">
        <v>42</v>
      </c>
      <c r="H745" s="11">
        <v>15722.06</v>
      </c>
      <c r="I745" s="11">
        <v>15722.06</v>
      </c>
      <c r="J745" s="9" t="s">
        <v>89</v>
      </c>
      <c r="K745" s="9" t="s">
        <v>44</v>
      </c>
    </row>
    <row r="746" spans="1:11" x14ac:dyDescent="0.25">
      <c r="A746" s="8" t="s">
        <v>47</v>
      </c>
      <c r="B746" s="9" t="s">
        <v>48</v>
      </c>
      <c r="C746" s="9" t="s">
        <v>49</v>
      </c>
      <c r="D746" s="9" t="s">
        <v>103</v>
      </c>
      <c r="E746" s="10">
        <v>2017</v>
      </c>
      <c r="F746" s="10">
        <v>2018</v>
      </c>
      <c r="G746" s="9" t="s">
        <v>45</v>
      </c>
      <c r="H746" s="11">
        <v>154.91999999999999</v>
      </c>
      <c r="I746" s="11">
        <v>154.91999999999999</v>
      </c>
      <c r="J746" s="9" t="s">
        <v>89</v>
      </c>
      <c r="K746" s="9" t="s">
        <v>44</v>
      </c>
    </row>
    <row r="747" spans="1:11" x14ac:dyDescent="0.25">
      <c r="A747" s="8" t="s">
        <v>47</v>
      </c>
      <c r="B747" s="9" t="s">
        <v>48</v>
      </c>
      <c r="C747" s="9" t="s">
        <v>49</v>
      </c>
      <c r="D747" s="9" t="s">
        <v>103</v>
      </c>
      <c r="E747" s="10">
        <v>2017</v>
      </c>
      <c r="F747" s="10">
        <v>2018</v>
      </c>
      <c r="G747" s="9" t="s">
        <v>46</v>
      </c>
      <c r="H747" s="11">
        <v>37331.57</v>
      </c>
      <c r="I747" s="11">
        <v>37331.57</v>
      </c>
      <c r="J747" s="9" t="s">
        <v>89</v>
      </c>
      <c r="K747" s="9" t="s">
        <v>44</v>
      </c>
    </row>
    <row r="748" spans="1:11" x14ac:dyDescent="0.25">
      <c r="A748" s="8" t="s">
        <v>47</v>
      </c>
      <c r="B748" s="9" t="s">
        <v>48</v>
      </c>
      <c r="C748" s="9" t="s">
        <v>49</v>
      </c>
      <c r="D748" s="9" t="s">
        <v>103</v>
      </c>
      <c r="E748" s="10">
        <v>2017</v>
      </c>
      <c r="F748" s="10">
        <v>2018</v>
      </c>
      <c r="G748" s="9" t="s">
        <v>64</v>
      </c>
      <c r="H748" s="11">
        <v>1.63</v>
      </c>
      <c r="I748" s="11">
        <v>1.63</v>
      </c>
      <c r="J748" s="9" t="s">
        <v>89</v>
      </c>
      <c r="K748" s="9" t="s">
        <v>44</v>
      </c>
    </row>
    <row r="749" spans="1:11" x14ac:dyDescent="0.25">
      <c r="A749" s="8" t="s">
        <v>47</v>
      </c>
      <c r="B749" s="9" t="s">
        <v>48</v>
      </c>
      <c r="C749" s="9" t="s">
        <v>49</v>
      </c>
      <c r="D749" s="9" t="s">
        <v>103</v>
      </c>
      <c r="E749" s="10">
        <v>2017</v>
      </c>
      <c r="F749" s="10">
        <v>2018</v>
      </c>
      <c r="G749" s="9" t="s">
        <v>50</v>
      </c>
      <c r="H749" s="11">
        <v>69.739999999999995</v>
      </c>
      <c r="I749" s="11">
        <v>69.739999999999995</v>
      </c>
      <c r="J749" s="9" t="s">
        <v>89</v>
      </c>
      <c r="K749" s="9" t="s">
        <v>44</v>
      </c>
    </row>
    <row r="750" spans="1:11" x14ac:dyDescent="0.25">
      <c r="A750" s="8" t="s">
        <v>51</v>
      </c>
      <c r="B750" s="9" t="s">
        <v>52</v>
      </c>
      <c r="C750" s="9" t="s">
        <v>53</v>
      </c>
      <c r="D750" s="9" t="s">
        <v>103</v>
      </c>
      <c r="E750" s="10">
        <v>2017</v>
      </c>
      <c r="F750" s="10">
        <v>2018</v>
      </c>
      <c r="G750" s="9" t="s">
        <v>42</v>
      </c>
      <c r="H750" s="11">
        <v>2054.89</v>
      </c>
      <c r="I750" s="11">
        <v>2054.89</v>
      </c>
      <c r="J750" s="9" t="s">
        <v>89</v>
      </c>
      <c r="K750" s="9" t="s">
        <v>44</v>
      </c>
    </row>
    <row r="751" spans="1:11" x14ac:dyDescent="0.25">
      <c r="A751" s="8" t="s">
        <v>51</v>
      </c>
      <c r="B751" s="9" t="s">
        <v>52</v>
      </c>
      <c r="C751" s="9" t="s">
        <v>53</v>
      </c>
      <c r="D751" s="9" t="s">
        <v>103</v>
      </c>
      <c r="E751" s="10">
        <v>2017</v>
      </c>
      <c r="F751" s="10">
        <v>2018</v>
      </c>
      <c r="G751" s="9" t="s">
        <v>46</v>
      </c>
      <c r="H751" s="11">
        <v>71854.77</v>
      </c>
      <c r="I751" s="11">
        <v>71854.77</v>
      </c>
      <c r="J751" s="9" t="s">
        <v>89</v>
      </c>
      <c r="K751" s="9" t="s">
        <v>44</v>
      </c>
    </row>
    <row r="752" spans="1:11" x14ac:dyDescent="0.25">
      <c r="A752" s="8" t="s">
        <v>51</v>
      </c>
      <c r="B752" s="9" t="s">
        <v>52</v>
      </c>
      <c r="C752" s="9" t="s">
        <v>53</v>
      </c>
      <c r="D752" s="9" t="s">
        <v>103</v>
      </c>
      <c r="E752" s="10">
        <v>2017</v>
      </c>
      <c r="F752" s="10">
        <v>2018</v>
      </c>
      <c r="G752" s="9" t="s">
        <v>64</v>
      </c>
      <c r="H752" s="11">
        <v>5.53</v>
      </c>
      <c r="I752" s="11">
        <v>5.53</v>
      </c>
      <c r="J752" s="9" t="s">
        <v>89</v>
      </c>
      <c r="K752" s="9" t="s">
        <v>44</v>
      </c>
    </row>
    <row r="753" spans="1:11" x14ac:dyDescent="0.25">
      <c r="A753" s="8" t="s">
        <v>51</v>
      </c>
      <c r="B753" s="9" t="s">
        <v>52</v>
      </c>
      <c r="C753" s="9" t="s">
        <v>53</v>
      </c>
      <c r="D753" s="9" t="s">
        <v>103</v>
      </c>
      <c r="E753" s="10">
        <v>2017</v>
      </c>
      <c r="F753" s="10">
        <v>2018</v>
      </c>
      <c r="G753" s="9" t="s">
        <v>50</v>
      </c>
      <c r="H753" s="11">
        <v>149.97999999999999</v>
      </c>
      <c r="I753" s="11">
        <v>149.97999999999999</v>
      </c>
      <c r="J753" s="9" t="s">
        <v>89</v>
      </c>
      <c r="K753" s="9" t="s">
        <v>44</v>
      </c>
    </row>
    <row r="754" spans="1:11" x14ac:dyDescent="0.25">
      <c r="A754" s="8" t="s">
        <v>54</v>
      </c>
      <c r="B754" s="9" t="s">
        <v>55</v>
      </c>
      <c r="C754" s="9" t="s">
        <v>49</v>
      </c>
      <c r="D754" s="9" t="s">
        <v>103</v>
      </c>
      <c r="E754" s="10">
        <v>2017</v>
      </c>
      <c r="F754" s="10">
        <v>2018</v>
      </c>
      <c r="G754" s="9" t="s">
        <v>42</v>
      </c>
      <c r="H754" s="11">
        <v>4064.35</v>
      </c>
      <c r="I754" s="11">
        <v>4064.35</v>
      </c>
      <c r="J754" s="9" t="s">
        <v>89</v>
      </c>
      <c r="K754" s="9" t="s">
        <v>44</v>
      </c>
    </row>
    <row r="755" spans="1:11" x14ac:dyDescent="0.25">
      <c r="A755" s="8" t="s">
        <v>54</v>
      </c>
      <c r="B755" s="9" t="s">
        <v>55</v>
      </c>
      <c r="C755" s="9" t="s">
        <v>49</v>
      </c>
      <c r="D755" s="9" t="s">
        <v>103</v>
      </c>
      <c r="E755" s="10">
        <v>2017</v>
      </c>
      <c r="F755" s="10">
        <v>2018</v>
      </c>
      <c r="G755" s="9" t="s">
        <v>45</v>
      </c>
      <c r="H755" s="11">
        <v>285.77</v>
      </c>
      <c r="I755" s="11">
        <v>285.77</v>
      </c>
      <c r="J755" s="9" t="s">
        <v>89</v>
      </c>
      <c r="K755" s="9" t="s">
        <v>44</v>
      </c>
    </row>
    <row r="756" spans="1:11" x14ac:dyDescent="0.25">
      <c r="A756" s="8" t="s">
        <v>54</v>
      </c>
      <c r="B756" s="9" t="s">
        <v>55</v>
      </c>
      <c r="C756" s="9" t="s">
        <v>49</v>
      </c>
      <c r="D756" s="9" t="s">
        <v>103</v>
      </c>
      <c r="E756" s="10">
        <v>2017</v>
      </c>
      <c r="F756" s="10">
        <v>2018</v>
      </c>
      <c r="G756" s="9" t="s">
        <v>46</v>
      </c>
      <c r="H756" s="11">
        <v>34007.480000000003</v>
      </c>
      <c r="I756" s="11">
        <v>34007.480000000003</v>
      </c>
      <c r="J756" s="9" t="s">
        <v>89</v>
      </c>
      <c r="K756" s="9" t="s">
        <v>44</v>
      </c>
    </row>
    <row r="757" spans="1:11" x14ac:dyDescent="0.25">
      <c r="A757" s="8" t="s">
        <v>54</v>
      </c>
      <c r="B757" s="9" t="s">
        <v>55</v>
      </c>
      <c r="C757" s="9" t="s">
        <v>49</v>
      </c>
      <c r="D757" s="9" t="s">
        <v>103</v>
      </c>
      <c r="E757" s="10">
        <v>2017</v>
      </c>
      <c r="F757" s="10">
        <v>2018</v>
      </c>
      <c r="G757" s="9" t="s">
        <v>50</v>
      </c>
      <c r="H757" s="11">
        <v>6.57</v>
      </c>
      <c r="I757" s="11">
        <v>6.57</v>
      </c>
      <c r="J757" s="9" t="s">
        <v>89</v>
      </c>
      <c r="K757" s="9" t="s">
        <v>44</v>
      </c>
    </row>
    <row r="758" spans="1:11" x14ac:dyDescent="0.25">
      <c r="A758" s="8" t="s">
        <v>56</v>
      </c>
      <c r="B758" s="9" t="s">
        <v>57</v>
      </c>
      <c r="C758" s="9" t="s">
        <v>40</v>
      </c>
      <c r="D758" s="9" t="s">
        <v>103</v>
      </c>
      <c r="E758" s="10">
        <v>2017</v>
      </c>
      <c r="F758" s="10">
        <v>2018</v>
      </c>
      <c r="G758" s="9" t="s">
        <v>42</v>
      </c>
      <c r="H758" s="11">
        <v>12232.74</v>
      </c>
      <c r="I758" s="11">
        <v>12232.74</v>
      </c>
      <c r="J758" s="9" t="s">
        <v>89</v>
      </c>
      <c r="K758" s="9" t="s">
        <v>44</v>
      </c>
    </row>
    <row r="759" spans="1:11" x14ac:dyDescent="0.25">
      <c r="A759" s="8" t="s">
        <v>56</v>
      </c>
      <c r="B759" s="9" t="s">
        <v>57</v>
      </c>
      <c r="C759" s="9" t="s">
        <v>40</v>
      </c>
      <c r="D759" s="9" t="s">
        <v>103</v>
      </c>
      <c r="E759" s="10">
        <v>2017</v>
      </c>
      <c r="F759" s="10">
        <v>2018</v>
      </c>
      <c r="G759" s="9" t="s">
        <v>46</v>
      </c>
      <c r="H759" s="11">
        <v>24029.03</v>
      </c>
      <c r="I759" s="11">
        <v>24029.03</v>
      </c>
      <c r="J759" s="9" t="s">
        <v>89</v>
      </c>
      <c r="K759" s="9" t="s">
        <v>44</v>
      </c>
    </row>
    <row r="760" spans="1:11" x14ac:dyDescent="0.25">
      <c r="A760" s="8" t="s">
        <v>56</v>
      </c>
      <c r="B760" s="9" t="s">
        <v>57</v>
      </c>
      <c r="C760" s="9" t="s">
        <v>40</v>
      </c>
      <c r="D760" s="9" t="s">
        <v>103</v>
      </c>
      <c r="E760" s="10">
        <v>2017</v>
      </c>
      <c r="F760" s="10">
        <v>2018</v>
      </c>
      <c r="G760" s="9" t="s">
        <v>64</v>
      </c>
      <c r="H760" s="11">
        <v>1.02</v>
      </c>
      <c r="I760" s="11">
        <v>1.02</v>
      </c>
      <c r="J760" s="9" t="s">
        <v>89</v>
      </c>
      <c r="K760" s="9" t="s">
        <v>44</v>
      </c>
    </row>
    <row r="761" spans="1:11" x14ac:dyDescent="0.25">
      <c r="A761" s="8" t="s">
        <v>56</v>
      </c>
      <c r="B761" s="9" t="s">
        <v>57</v>
      </c>
      <c r="C761" s="9" t="s">
        <v>40</v>
      </c>
      <c r="D761" s="9" t="s">
        <v>103</v>
      </c>
      <c r="E761" s="10">
        <v>2017</v>
      </c>
      <c r="F761" s="10">
        <v>2018</v>
      </c>
      <c r="G761" s="9" t="s">
        <v>50</v>
      </c>
      <c r="H761" s="11">
        <v>182.08</v>
      </c>
      <c r="I761" s="11">
        <v>182.08</v>
      </c>
      <c r="J761" s="9" t="s">
        <v>89</v>
      </c>
      <c r="K761" s="9" t="s">
        <v>44</v>
      </c>
    </row>
    <row r="762" spans="1:11" x14ac:dyDescent="0.25">
      <c r="A762" s="8" t="s">
        <v>58</v>
      </c>
      <c r="B762" s="9" t="s">
        <v>59</v>
      </c>
      <c r="C762" s="9" t="s">
        <v>49</v>
      </c>
      <c r="D762" s="9" t="s">
        <v>103</v>
      </c>
      <c r="E762" s="10">
        <v>2017</v>
      </c>
      <c r="F762" s="10">
        <v>2018</v>
      </c>
      <c r="G762" s="9" t="s">
        <v>42</v>
      </c>
      <c r="H762" s="11">
        <v>18948.66</v>
      </c>
      <c r="I762" s="11">
        <v>18948.66</v>
      </c>
      <c r="J762" s="9" t="s">
        <v>89</v>
      </c>
      <c r="K762" s="9" t="s">
        <v>44</v>
      </c>
    </row>
    <row r="763" spans="1:11" x14ac:dyDescent="0.25">
      <c r="A763" s="8" t="s">
        <v>58</v>
      </c>
      <c r="B763" s="9" t="s">
        <v>59</v>
      </c>
      <c r="C763" s="9" t="s">
        <v>49</v>
      </c>
      <c r="D763" s="9" t="s">
        <v>103</v>
      </c>
      <c r="E763" s="10">
        <v>2017</v>
      </c>
      <c r="F763" s="10">
        <v>2018</v>
      </c>
      <c r="G763" s="9" t="s">
        <v>45</v>
      </c>
      <c r="H763" s="11">
        <v>39.07</v>
      </c>
      <c r="I763" s="11">
        <v>39.07</v>
      </c>
      <c r="J763" s="9" t="s">
        <v>89</v>
      </c>
      <c r="K763" s="9" t="s">
        <v>44</v>
      </c>
    </row>
    <row r="764" spans="1:11" x14ac:dyDescent="0.25">
      <c r="A764" s="8" t="s">
        <v>58</v>
      </c>
      <c r="B764" s="9" t="s">
        <v>59</v>
      </c>
      <c r="C764" s="9" t="s">
        <v>49</v>
      </c>
      <c r="D764" s="9" t="s">
        <v>103</v>
      </c>
      <c r="E764" s="10">
        <v>2017</v>
      </c>
      <c r="F764" s="10">
        <v>2018</v>
      </c>
      <c r="G764" s="9" t="s">
        <v>46</v>
      </c>
      <c r="H764" s="11">
        <v>51400.19</v>
      </c>
      <c r="I764" s="11">
        <v>51400.19</v>
      </c>
      <c r="J764" s="9" t="s">
        <v>89</v>
      </c>
      <c r="K764" s="9" t="s">
        <v>44</v>
      </c>
    </row>
    <row r="765" spans="1:11" x14ac:dyDescent="0.25">
      <c r="A765" s="8" t="s">
        <v>58</v>
      </c>
      <c r="B765" s="9" t="s">
        <v>59</v>
      </c>
      <c r="C765" s="9" t="s">
        <v>49</v>
      </c>
      <c r="D765" s="9" t="s">
        <v>103</v>
      </c>
      <c r="E765" s="10">
        <v>2017</v>
      </c>
      <c r="F765" s="10">
        <v>2018</v>
      </c>
      <c r="G765" s="9" t="s">
        <v>50</v>
      </c>
      <c r="H765" s="11">
        <v>74.5</v>
      </c>
      <c r="I765" s="11">
        <v>74.5</v>
      </c>
      <c r="J765" s="9" t="s">
        <v>89</v>
      </c>
      <c r="K765" s="9" t="s">
        <v>44</v>
      </c>
    </row>
    <row r="766" spans="1:11" x14ac:dyDescent="0.25">
      <c r="A766" s="8" t="s">
        <v>60</v>
      </c>
      <c r="B766" s="9" t="s">
        <v>61</v>
      </c>
      <c r="C766" s="9" t="s">
        <v>40</v>
      </c>
      <c r="D766" s="9" t="s">
        <v>103</v>
      </c>
      <c r="E766" s="10">
        <v>2017</v>
      </c>
      <c r="F766" s="10">
        <v>2018</v>
      </c>
      <c r="G766" s="9" t="s">
        <v>42</v>
      </c>
      <c r="H766" s="11">
        <v>138441</v>
      </c>
      <c r="I766" s="11">
        <v>138441</v>
      </c>
      <c r="J766" s="9" t="s">
        <v>89</v>
      </c>
      <c r="K766" s="9" t="s">
        <v>44</v>
      </c>
    </row>
    <row r="767" spans="1:11" x14ac:dyDescent="0.25">
      <c r="A767" s="8" t="s">
        <v>60</v>
      </c>
      <c r="B767" s="9" t="s">
        <v>61</v>
      </c>
      <c r="C767" s="9" t="s">
        <v>40</v>
      </c>
      <c r="D767" s="9" t="s">
        <v>103</v>
      </c>
      <c r="E767" s="10">
        <v>2017</v>
      </c>
      <c r="F767" s="10">
        <v>2018</v>
      </c>
      <c r="G767" s="9" t="s">
        <v>45</v>
      </c>
      <c r="H767" s="11">
        <v>168.52</v>
      </c>
      <c r="I767" s="11">
        <v>168.52</v>
      </c>
      <c r="J767" s="9" t="s">
        <v>89</v>
      </c>
      <c r="K767" s="9" t="s">
        <v>44</v>
      </c>
    </row>
    <row r="768" spans="1:11" x14ac:dyDescent="0.25">
      <c r="A768" s="8" t="s">
        <v>60</v>
      </c>
      <c r="B768" s="9" t="s">
        <v>61</v>
      </c>
      <c r="C768" s="9" t="s">
        <v>40</v>
      </c>
      <c r="D768" s="9" t="s">
        <v>103</v>
      </c>
      <c r="E768" s="10">
        <v>2017</v>
      </c>
      <c r="F768" s="10">
        <v>2018</v>
      </c>
      <c r="G768" s="9" t="s">
        <v>46</v>
      </c>
      <c r="H768" s="11">
        <v>53674.559999999998</v>
      </c>
      <c r="I768" s="11">
        <v>53674.559999999998</v>
      </c>
      <c r="J768" s="9" t="s">
        <v>89</v>
      </c>
      <c r="K768" s="9" t="s">
        <v>44</v>
      </c>
    </row>
    <row r="769" spans="1:11" x14ac:dyDescent="0.25">
      <c r="A769" s="8" t="s">
        <v>60</v>
      </c>
      <c r="B769" s="9" t="s">
        <v>61</v>
      </c>
      <c r="C769" s="9" t="s">
        <v>40</v>
      </c>
      <c r="D769" s="9" t="s">
        <v>103</v>
      </c>
      <c r="E769" s="10">
        <v>2017</v>
      </c>
      <c r="F769" s="10">
        <v>2018</v>
      </c>
      <c r="G769" s="9" t="s">
        <v>64</v>
      </c>
      <c r="H769" s="11">
        <v>10.58</v>
      </c>
      <c r="I769" s="11">
        <v>10.58</v>
      </c>
      <c r="J769" s="9" t="s">
        <v>89</v>
      </c>
      <c r="K769" s="9" t="s">
        <v>44</v>
      </c>
    </row>
    <row r="770" spans="1:11" x14ac:dyDescent="0.25">
      <c r="A770" s="8" t="s">
        <v>60</v>
      </c>
      <c r="B770" s="9" t="s">
        <v>61</v>
      </c>
      <c r="C770" s="9" t="s">
        <v>40</v>
      </c>
      <c r="D770" s="9" t="s">
        <v>103</v>
      </c>
      <c r="E770" s="10">
        <v>2017</v>
      </c>
      <c r="F770" s="10">
        <v>2018</v>
      </c>
      <c r="G770" s="9" t="s">
        <v>50</v>
      </c>
      <c r="H770" s="11">
        <v>2628.06</v>
      </c>
      <c r="I770" s="11">
        <v>2628.06</v>
      </c>
      <c r="J770" s="9" t="s">
        <v>89</v>
      </c>
      <c r="K770" s="9" t="s">
        <v>44</v>
      </c>
    </row>
    <row r="771" spans="1:11" x14ac:dyDescent="0.25">
      <c r="A771" s="8" t="s">
        <v>62</v>
      </c>
      <c r="B771" s="9" t="s">
        <v>63</v>
      </c>
      <c r="C771" s="9" t="s">
        <v>40</v>
      </c>
      <c r="D771" s="9" t="s">
        <v>103</v>
      </c>
      <c r="E771" s="10">
        <v>2017</v>
      </c>
      <c r="F771" s="10">
        <v>2018</v>
      </c>
      <c r="G771" s="9" t="s">
        <v>42</v>
      </c>
      <c r="H771" s="11">
        <v>92251.21</v>
      </c>
      <c r="I771" s="11">
        <v>92251.21</v>
      </c>
      <c r="J771" s="9" t="s">
        <v>89</v>
      </c>
      <c r="K771" s="9" t="s">
        <v>44</v>
      </c>
    </row>
    <row r="772" spans="1:11" x14ac:dyDescent="0.25">
      <c r="A772" s="8" t="s">
        <v>62</v>
      </c>
      <c r="B772" s="9" t="s">
        <v>63</v>
      </c>
      <c r="C772" s="9" t="s">
        <v>40</v>
      </c>
      <c r="D772" s="9" t="s">
        <v>103</v>
      </c>
      <c r="E772" s="10">
        <v>2017</v>
      </c>
      <c r="F772" s="10">
        <v>2018</v>
      </c>
      <c r="G772" s="9" t="s">
        <v>45</v>
      </c>
      <c r="H772" s="11">
        <v>121.1</v>
      </c>
      <c r="I772" s="11">
        <v>121.1</v>
      </c>
      <c r="J772" s="9" t="s">
        <v>89</v>
      </c>
      <c r="K772" s="9" t="s">
        <v>44</v>
      </c>
    </row>
    <row r="773" spans="1:11" x14ac:dyDescent="0.25">
      <c r="A773" s="8" t="s">
        <v>62</v>
      </c>
      <c r="B773" s="9" t="s">
        <v>63</v>
      </c>
      <c r="C773" s="9" t="s">
        <v>40</v>
      </c>
      <c r="D773" s="9" t="s">
        <v>103</v>
      </c>
      <c r="E773" s="10">
        <v>2017</v>
      </c>
      <c r="F773" s="10">
        <v>2018</v>
      </c>
      <c r="G773" s="9" t="s">
        <v>46</v>
      </c>
      <c r="H773" s="11">
        <v>45545.36</v>
      </c>
      <c r="I773" s="11">
        <v>45545.36</v>
      </c>
      <c r="J773" s="9" t="s">
        <v>89</v>
      </c>
      <c r="K773" s="9" t="s">
        <v>44</v>
      </c>
    </row>
    <row r="774" spans="1:11" x14ac:dyDescent="0.25">
      <c r="A774" s="8" t="s">
        <v>62</v>
      </c>
      <c r="B774" s="9" t="s">
        <v>63</v>
      </c>
      <c r="C774" s="9" t="s">
        <v>40</v>
      </c>
      <c r="D774" s="9" t="s">
        <v>103</v>
      </c>
      <c r="E774" s="10">
        <v>2017</v>
      </c>
      <c r="F774" s="10">
        <v>2018</v>
      </c>
      <c r="G774" s="9" t="s">
        <v>64</v>
      </c>
      <c r="H774" s="11">
        <v>7.25</v>
      </c>
      <c r="I774" s="11">
        <v>7.25</v>
      </c>
      <c r="J774" s="9" t="s">
        <v>89</v>
      </c>
      <c r="K774" s="9" t="s">
        <v>44</v>
      </c>
    </row>
    <row r="775" spans="1:11" x14ac:dyDescent="0.25">
      <c r="A775" s="8" t="s">
        <v>62</v>
      </c>
      <c r="B775" s="9" t="s">
        <v>63</v>
      </c>
      <c r="C775" s="9" t="s">
        <v>40</v>
      </c>
      <c r="D775" s="9" t="s">
        <v>103</v>
      </c>
      <c r="E775" s="10">
        <v>2017</v>
      </c>
      <c r="F775" s="10">
        <v>2018</v>
      </c>
      <c r="G775" s="9" t="s">
        <v>50</v>
      </c>
      <c r="H775" s="11">
        <v>300.54000000000002</v>
      </c>
      <c r="I775" s="11">
        <v>300.54000000000002</v>
      </c>
      <c r="J775" s="9" t="s">
        <v>89</v>
      </c>
      <c r="K775" s="9" t="s">
        <v>44</v>
      </c>
    </row>
    <row r="776" spans="1:11" x14ac:dyDescent="0.25">
      <c r="A776" s="8" t="s">
        <v>65</v>
      </c>
      <c r="B776" s="9" t="s">
        <v>66</v>
      </c>
      <c r="C776" s="9" t="s">
        <v>40</v>
      </c>
      <c r="D776" s="9" t="s">
        <v>103</v>
      </c>
      <c r="E776" s="10">
        <v>2017</v>
      </c>
      <c r="F776" s="10">
        <v>2018</v>
      </c>
      <c r="G776" s="9" t="s">
        <v>42</v>
      </c>
      <c r="H776" s="11">
        <v>1516.78</v>
      </c>
      <c r="I776" s="11">
        <v>1516.78</v>
      </c>
      <c r="J776" s="9" t="s">
        <v>89</v>
      </c>
      <c r="K776" s="9" t="s">
        <v>44</v>
      </c>
    </row>
    <row r="777" spans="1:11" x14ac:dyDescent="0.25">
      <c r="A777" s="8" t="s">
        <v>65</v>
      </c>
      <c r="B777" s="9" t="s">
        <v>66</v>
      </c>
      <c r="C777" s="9" t="s">
        <v>40</v>
      </c>
      <c r="D777" s="9" t="s">
        <v>103</v>
      </c>
      <c r="E777" s="10">
        <v>2017</v>
      </c>
      <c r="F777" s="10">
        <v>2018</v>
      </c>
      <c r="G777" s="9" t="s">
        <v>46</v>
      </c>
      <c r="H777" s="11">
        <v>7815.48</v>
      </c>
      <c r="I777" s="11">
        <v>7815.48</v>
      </c>
      <c r="J777" s="9" t="s">
        <v>89</v>
      </c>
      <c r="K777" s="9" t="s">
        <v>44</v>
      </c>
    </row>
    <row r="778" spans="1:11" x14ac:dyDescent="0.25">
      <c r="A778" s="8" t="s">
        <v>67</v>
      </c>
      <c r="B778" s="9" t="s">
        <v>68</v>
      </c>
      <c r="C778" s="9" t="s">
        <v>69</v>
      </c>
      <c r="D778" s="9" t="s">
        <v>103</v>
      </c>
      <c r="E778" s="10">
        <v>2017</v>
      </c>
      <c r="F778" s="10">
        <v>2018</v>
      </c>
      <c r="G778" s="9" t="s">
        <v>42</v>
      </c>
      <c r="H778" s="11">
        <v>99309.9</v>
      </c>
      <c r="I778" s="11">
        <v>99309.9</v>
      </c>
      <c r="J778" s="9" t="s">
        <v>89</v>
      </c>
      <c r="K778" s="9" t="s">
        <v>44</v>
      </c>
    </row>
    <row r="779" spans="1:11" x14ac:dyDescent="0.25">
      <c r="A779" s="8" t="s">
        <v>67</v>
      </c>
      <c r="B779" s="9" t="s">
        <v>68</v>
      </c>
      <c r="C779" s="9" t="s">
        <v>69</v>
      </c>
      <c r="D779" s="9" t="s">
        <v>103</v>
      </c>
      <c r="E779" s="10">
        <v>2017</v>
      </c>
      <c r="F779" s="10">
        <v>2018</v>
      </c>
      <c r="G779" s="9" t="s">
        <v>45</v>
      </c>
      <c r="H779" s="11">
        <v>195.56</v>
      </c>
      <c r="I779" s="11">
        <v>195.56</v>
      </c>
      <c r="J779" s="9" t="s">
        <v>89</v>
      </c>
      <c r="K779" s="9" t="s">
        <v>44</v>
      </c>
    </row>
    <row r="780" spans="1:11" x14ac:dyDescent="0.25">
      <c r="A780" s="8" t="s">
        <v>67</v>
      </c>
      <c r="B780" s="9" t="s">
        <v>68</v>
      </c>
      <c r="C780" s="9" t="s">
        <v>69</v>
      </c>
      <c r="D780" s="9" t="s">
        <v>103</v>
      </c>
      <c r="E780" s="10">
        <v>2017</v>
      </c>
      <c r="F780" s="10">
        <v>2018</v>
      </c>
      <c r="G780" s="9" t="s">
        <v>46</v>
      </c>
      <c r="H780" s="11">
        <v>24733.98</v>
      </c>
      <c r="I780" s="11">
        <v>24733.98</v>
      </c>
      <c r="J780" s="9" t="s">
        <v>89</v>
      </c>
      <c r="K780" s="9" t="s">
        <v>44</v>
      </c>
    </row>
    <row r="781" spans="1:11" x14ac:dyDescent="0.25">
      <c r="A781" s="8" t="s">
        <v>67</v>
      </c>
      <c r="B781" s="9" t="s">
        <v>68</v>
      </c>
      <c r="C781" s="9" t="s">
        <v>69</v>
      </c>
      <c r="D781" s="9" t="s">
        <v>103</v>
      </c>
      <c r="E781" s="10">
        <v>2017</v>
      </c>
      <c r="F781" s="10">
        <v>2018</v>
      </c>
      <c r="G781" s="9" t="s">
        <v>64</v>
      </c>
      <c r="H781" s="11">
        <v>17.489999999999998</v>
      </c>
      <c r="I781" s="11">
        <v>17.489999999999998</v>
      </c>
      <c r="J781" s="9" t="s">
        <v>89</v>
      </c>
      <c r="K781" s="9" t="s">
        <v>44</v>
      </c>
    </row>
    <row r="782" spans="1:11" x14ac:dyDescent="0.25">
      <c r="A782" s="8" t="s">
        <v>67</v>
      </c>
      <c r="B782" s="9" t="s">
        <v>68</v>
      </c>
      <c r="C782" s="9" t="s">
        <v>69</v>
      </c>
      <c r="D782" s="9" t="s">
        <v>103</v>
      </c>
      <c r="E782" s="10">
        <v>2017</v>
      </c>
      <c r="F782" s="10">
        <v>2018</v>
      </c>
      <c r="G782" s="9" t="s">
        <v>50</v>
      </c>
      <c r="H782" s="11">
        <v>636.77</v>
      </c>
      <c r="I782" s="11">
        <v>636.77</v>
      </c>
      <c r="J782" s="9" t="s">
        <v>89</v>
      </c>
      <c r="K782" s="9" t="s">
        <v>44</v>
      </c>
    </row>
    <row r="783" spans="1:11" x14ac:dyDescent="0.25">
      <c r="A783" s="8" t="s">
        <v>70</v>
      </c>
      <c r="B783" s="9" t="s">
        <v>71</v>
      </c>
      <c r="C783" s="9" t="s">
        <v>49</v>
      </c>
      <c r="D783" s="9" t="s">
        <v>103</v>
      </c>
      <c r="E783" s="10">
        <v>2017</v>
      </c>
      <c r="F783" s="10">
        <v>2018</v>
      </c>
      <c r="G783" s="9" t="s">
        <v>42</v>
      </c>
      <c r="H783" s="11">
        <v>65656.25</v>
      </c>
      <c r="I783" s="11">
        <v>65656.25</v>
      </c>
      <c r="J783" s="9" t="s">
        <v>89</v>
      </c>
      <c r="K783" s="9" t="s">
        <v>44</v>
      </c>
    </row>
    <row r="784" spans="1:11" x14ac:dyDescent="0.25">
      <c r="A784" s="8" t="s">
        <v>70</v>
      </c>
      <c r="B784" s="9" t="s">
        <v>71</v>
      </c>
      <c r="C784" s="9" t="s">
        <v>49</v>
      </c>
      <c r="D784" s="9" t="s">
        <v>103</v>
      </c>
      <c r="E784" s="10">
        <v>2017</v>
      </c>
      <c r="F784" s="10">
        <v>2018</v>
      </c>
      <c r="G784" s="9" t="s">
        <v>45</v>
      </c>
      <c r="H784" s="11">
        <v>136.6</v>
      </c>
      <c r="I784" s="11">
        <v>136.6</v>
      </c>
      <c r="J784" s="9" t="s">
        <v>89</v>
      </c>
      <c r="K784" s="9" t="s">
        <v>44</v>
      </c>
    </row>
    <row r="785" spans="1:11" x14ac:dyDescent="0.25">
      <c r="A785" s="8" t="s">
        <v>70</v>
      </c>
      <c r="B785" s="9" t="s">
        <v>71</v>
      </c>
      <c r="C785" s="9" t="s">
        <v>49</v>
      </c>
      <c r="D785" s="9" t="s">
        <v>103</v>
      </c>
      <c r="E785" s="10">
        <v>2017</v>
      </c>
      <c r="F785" s="10">
        <v>2018</v>
      </c>
      <c r="G785" s="9" t="s">
        <v>46</v>
      </c>
      <c r="H785" s="11">
        <v>38822.639999999999</v>
      </c>
      <c r="I785" s="11">
        <v>38822.639999999999</v>
      </c>
      <c r="J785" s="9" t="s">
        <v>89</v>
      </c>
      <c r="K785" s="9" t="s">
        <v>44</v>
      </c>
    </row>
    <row r="786" spans="1:11" x14ac:dyDescent="0.25">
      <c r="A786" s="8" t="s">
        <v>70</v>
      </c>
      <c r="B786" s="9" t="s">
        <v>71</v>
      </c>
      <c r="C786" s="9" t="s">
        <v>49</v>
      </c>
      <c r="D786" s="9" t="s">
        <v>103</v>
      </c>
      <c r="E786" s="10">
        <v>2017</v>
      </c>
      <c r="F786" s="10">
        <v>2018</v>
      </c>
      <c r="G786" s="9" t="s">
        <v>64</v>
      </c>
      <c r="H786" s="11">
        <v>0.38</v>
      </c>
      <c r="I786" s="11">
        <v>0.38</v>
      </c>
      <c r="J786" s="9" t="s">
        <v>89</v>
      </c>
      <c r="K786" s="9" t="s">
        <v>44</v>
      </c>
    </row>
    <row r="787" spans="1:11" x14ac:dyDescent="0.25">
      <c r="A787" s="8" t="s">
        <v>70</v>
      </c>
      <c r="B787" s="9" t="s">
        <v>71</v>
      </c>
      <c r="C787" s="9" t="s">
        <v>49</v>
      </c>
      <c r="D787" s="9" t="s">
        <v>103</v>
      </c>
      <c r="E787" s="10">
        <v>2017</v>
      </c>
      <c r="F787" s="10">
        <v>2018</v>
      </c>
      <c r="G787" s="9" t="s">
        <v>50</v>
      </c>
      <c r="H787" s="11">
        <v>1272.3800000000001</v>
      </c>
      <c r="I787" s="11">
        <v>1272.3800000000001</v>
      </c>
      <c r="J787" s="9" t="s">
        <v>89</v>
      </c>
      <c r="K787" s="9" t="s">
        <v>44</v>
      </c>
    </row>
    <row r="788" spans="1:11" x14ac:dyDescent="0.25">
      <c r="A788" s="8" t="s">
        <v>72</v>
      </c>
      <c r="B788" s="9" t="s">
        <v>73</v>
      </c>
      <c r="C788" s="9" t="s">
        <v>53</v>
      </c>
      <c r="D788" s="9" t="s">
        <v>103</v>
      </c>
      <c r="E788" s="10">
        <v>2017</v>
      </c>
      <c r="F788" s="10">
        <v>2018</v>
      </c>
      <c r="G788" s="9" t="s">
        <v>42</v>
      </c>
      <c r="H788" s="11">
        <v>17437.919999999998</v>
      </c>
      <c r="I788" s="11">
        <v>17437.919999999998</v>
      </c>
      <c r="J788" s="9" t="s">
        <v>89</v>
      </c>
      <c r="K788" s="9" t="s">
        <v>44</v>
      </c>
    </row>
    <row r="789" spans="1:11" x14ac:dyDescent="0.25">
      <c r="A789" s="8" t="s">
        <v>72</v>
      </c>
      <c r="B789" s="9" t="s">
        <v>73</v>
      </c>
      <c r="C789" s="9" t="s">
        <v>53</v>
      </c>
      <c r="D789" s="9" t="s">
        <v>103</v>
      </c>
      <c r="E789" s="10">
        <v>2017</v>
      </c>
      <c r="F789" s="10">
        <v>2018</v>
      </c>
      <c r="G789" s="9" t="s">
        <v>45</v>
      </c>
      <c r="H789" s="11">
        <v>6.16</v>
      </c>
      <c r="I789" s="11">
        <v>6.16</v>
      </c>
      <c r="J789" s="9" t="s">
        <v>89</v>
      </c>
      <c r="K789" s="9" t="s">
        <v>44</v>
      </c>
    </row>
    <row r="790" spans="1:11" x14ac:dyDescent="0.25">
      <c r="A790" s="8" t="s">
        <v>72</v>
      </c>
      <c r="B790" s="9" t="s">
        <v>73</v>
      </c>
      <c r="C790" s="9" t="s">
        <v>53</v>
      </c>
      <c r="D790" s="9" t="s">
        <v>103</v>
      </c>
      <c r="E790" s="10">
        <v>2017</v>
      </c>
      <c r="F790" s="10">
        <v>2018</v>
      </c>
      <c r="G790" s="9" t="s">
        <v>46</v>
      </c>
      <c r="H790" s="11">
        <v>107530.98</v>
      </c>
      <c r="I790" s="11">
        <v>107530.98</v>
      </c>
      <c r="J790" s="9" t="s">
        <v>89</v>
      </c>
      <c r="K790" s="9" t="s">
        <v>44</v>
      </c>
    </row>
    <row r="791" spans="1:11" x14ac:dyDescent="0.25">
      <c r="A791" s="8" t="s">
        <v>72</v>
      </c>
      <c r="B791" s="9" t="s">
        <v>73</v>
      </c>
      <c r="C791" s="9" t="s">
        <v>53</v>
      </c>
      <c r="D791" s="9" t="s">
        <v>103</v>
      </c>
      <c r="E791" s="10">
        <v>2017</v>
      </c>
      <c r="F791" s="10">
        <v>2018</v>
      </c>
      <c r="G791" s="9" t="s">
        <v>64</v>
      </c>
      <c r="H791" s="11">
        <v>1.22</v>
      </c>
      <c r="I791" s="11">
        <v>1.22</v>
      </c>
      <c r="J791" s="9" t="s">
        <v>89</v>
      </c>
      <c r="K791" s="9" t="s">
        <v>44</v>
      </c>
    </row>
    <row r="792" spans="1:11" x14ac:dyDescent="0.25">
      <c r="A792" s="8" t="s">
        <v>72</v>
      </c>
      <c r="B792" s="9" t="s">
        <v>73</v>
      </c>
      <c r="C792" s="9" t="s">
        <v>53</v>
      </c>
      <c r="D792" s="9" t="s">
        <v>103</v>
      </c>
      <c r="E792" s="10">
        <v>2017</v>
      </c>
      <c r="F792" s="10">
        <v>2018</v>
      </c>
      <c r="G792" s="9" t="s">
        <v>50</v>
      </c>
      <c r="H792" s="11">
        <v>37.200000000000003</v>
      </c>
      <c r="I792" s="11">
        <v>37.200000000000003</v>
      </c>
      <c r="J792" s="9" t="s">
        <v>89</v>
      </c>
      <c r="K792" s="9" t="s">
        <v>44</v>
      </c>
    </row>
    <row r="793" spans="1:11" x14ac:dyDescent="0.25">
      <c r="A793" s="8" t="s">
        <v>74</v>
      </c>
      <c r="B793" s="9" t="s">
        <v>75</v>
      </c>
      <c r="C793" s="9" t="s">
        <v>40</v>
      </c>
      <c r="D793" s="9" t="s">
        <v>103</v>
      </c>
      <c r="E793" s="10">
        <v>2017</v>
      </c>
      <c r="F793" s="10">
        <v>2018</v>
      </c>
      <c r="G793" s="9" t="s">
        <v>42</v>
      </c>
      <c r="H793" s="11">
        <v>13328.65</v>
      </c>
      <c r="I793" s="11">
        <v>13328.65</v>
      </c>
      <c r="J793" s="9" t="s">
        <v>89</v>
      </c>
      <c r="K793" s="9" t="s">
        <v>44</v>
      </c>
    </row>
    <row r="794" spans="1:11" x14ac:dyDescent="0.25">
      <c r="A794" s="8" t="s">
        <v>74</v>
      </c>
      <c r="B794" s="9" t="s">
        <v>75</v>
      </c>
      <c r="C794" s="9" t="s">
        <v>40</v>
      </c>
      <c r="D794" s="9" t="s">
        <v>103</v>
      </c>
      <c r="E794" s="10">
        <v>2017</v>
      </c>
      <c r="F794" s="10">
        <v>2018</v>
      </c>
      <c r="G794" s="9" t="s">
        <v>45</v>
      </c>
      <c r="H794" s="11">
        <v>18.579999999999998</v>
      </c>
      <c r="I794" s="11">
        <v>18.579999999999998</v>
      </c>
      <c r="J794" s="9" t="s">
        <v>89</v>
      </c>
      <c r="K794" s="9" t="s">
        <v>44</v>
      </c>
    </row>
    <row r="795" spans="1:11" x14ac:dyDescent="0.25">
      <c r="A795" s="8" t="s">
        <v>74</v>
      </c>
      <c r="B795" s="9" t="s">
        <v>75</v>
      </c>
      <c r="C795" s="9" t="s">
        <v>40</v>
      </c>
      <c r="D795" s="9" t="s">
        <v>103</v>
      </c>
      <c r="E795" s="10">
        <v>2017</v>
      </c>
      <c r="F795" s="10">
        <v>2018</v>
      </c>
      <c r="G795" s="9" t="s">
        <v>46</v>
      </c>
      <c r="H795" s="11">
        <v>29354.92</v>
      </c>
      <c r="I795" s="11">
        <v>29354.92</v>
      </c>
      <c r="J795" s="9" t="s">
        <v>89</v>
      </c>
      <c r="K795" s="9" t="s">
        <v>44</v>
      </c>
    </row>
    <row r="796" spans="1:11" x14ac:dyDescent="0.25">
      <c r="A796" s="8" t="s">
        <v>74</v>
      </c>
      <c r="B796" s="9" t="s">
        <v>75</v>
      </c>
      <c r="C796" s="9" t="s">
        <v>40</v>
      </c>
      <c r="D796" s="9" t="s">
        <v>103</v>
      </c>
      <c r="E796" s="10">
        <v>2017</v>
      </c>
      <c r="F796" s="10">
        <v>2018</v>
      </c>
      <c r="G796" s="9" t="s">
        <v>50</v>
      </c>
      <c r="H796" s="11">
        <v>653.23</v>
      </c>
      <c r="I796" s="11">
        <v>653.23</v>
      </c>
      <c r="J796" s="9" t="s">
        <v>89</v>
      </c>
      <c r="K796" s="9" t="s">
        <v>44</v>
      </c>
    </row>
    <row r="797" spans="1:11" x14ac:dyDescent="0.25">
      <c r="A797" s="8" t="s">
        <v>76</v>
      </c>
      <c r="B797" s="9" t="s">
        <v>77</v>
      </c>
      <c r="C797" s="9" t="s">
        <v>53</v>
      </c>
      <c r="D797" s="9" t="s">
        <v>103</v>
      </c>
      <c r="E797" s="10">
        <v>2017</v>
      </c>
      <c r="F797" s="10">
        <v>2018</v>
      </c>
      <c r="G797" s="9" t="s">
        <v>42</v>
      </c>
      <c r="H797" s="11">
        <v>581.07000000000005</v>
      </c>
      <c r="I797" s="11">
        <v>581.07000000000005</v>
      </c>
      <c r="J797" s="9" t="s">
        <v>89</v>
      </c>
      <c r="K797" s="9" t="s">
        <v>44</v>
      </c>
    </row>
    <row r="798" spans="1:11" x14ac:dyDescent="0.25">
      <c r="A798" s="8" t="s">
        <v>76</v>
      </c>
      <c r="B798" s="9" t="s">
        <v>77</v>
      </c>
      <c r="C798" s="9" t="s">
        <v>53</v>
      </c>
      <c r="D798" s="9" t="s">
        <v>103</v>
      </c>
      <c r="E798" s="10">
        <v>2017</v>
      </c>
      <c r="F798" s="10">
        <v>2018</v>
      </c>
      <c r="G798" s="9" t="s">
        <v>45</v>
      </c>
      <c r="H798" s="11">
        <v>2.67</v>
      </c>
      <c r="I798" s="11">
        <v>2.67</v>
      </c>
      <c r="J798" s="9" t="s">
        <v>89</v>
      </c>
      <c r="K798" s="9" t="s">
        <v>44</v>
      </c>
    </row>
    <row r="799" spans="1:11" x14ac:dyDescent="0.25">
      <c r="A799" s="8" t="s">
        <v>76</v>
      </c>
      <c r="B799" s="9" t="s">
        <v>77</v>
      </c>
      <c r="C799" s="9" t="s">
        <v>53</v>
      </c>
      <c r="D799" s="9" t="s">
        <v>103</v>
      </c>
      <c r="E799" s="10">
        <v>2017</v>
      </c>
      <c r="F799" s="10">
        <v>2018</v>
      </c>
      <c r="G799" s="9" t="s">
        <v>46</v>
      </c>
      <c r="H799" s="11">
        <v>24337.18</v>
      </c>
      <c r="I799" s="11">
        <v>24337.18</v>
      </c>
      <c r="J799" s="9" t="s">
        <v>89</v>
      </c>
      <c r="K799" s="9" t="s">
        <v>44</v>
      </c>
    </row>
    <row r="800" spans="1:11" x14ac:dyDescent="0.25">
      <c r="A800" s="8" t="s">
        <v>76</v>
      </c>
      <c r="B800" s="9" t="s">
        <v>77</v>
      </c>
      <c r="C800" s="9" t="s">
        <v>53</v>
      </c>
      <c r="D800" s="9" t="s">
        <v>103</v>
      </c>
      <c r="E800" s="10">
        <v>2017</v>
      </c>
      <c r="F800" s="10">
        <v>2018</v>
      </c>
      <c r="G800" s="9" t="s">
        <v>64</v>
      </c>
      <c r="H800" s="11">
        <v>1.77</v>
      </c>
      <c r="I800" s="11">
        <v>1.77</v>
      </c>
      <c r="J800" s="9" t="s">
        <v>89</v>
      </c>
      <c r="K800" s="9" t="s">
        <v>44</v>
      </c>
    </row>
    <row r="801" spans="1:11" x14ac:dyDescent="0.25">
      <c r="A801" s="8" t="s">
        <v>76</v>
      </c>
      <c r="B801" s="9" t="s">
        <v>77</v>
      </c>
      <c r="C801" s="9" t="s">
        <v>53</v>
      </c>
      <c r="D801" s="9" t="s">
        <v>103</v>
      </c>
      <c r="E801" s="10">
        <v>2017</v>
      </c>
      <c r="F801" s="10">
        <v>2018</v>
      </c>
      <c r="G801" s="9" t="s">
        <v>50</v>
      </c>
      <c r="H801" s="11">
        <v>160.6</v>
      </c>
      <c r="I801" s="11">
        <v>160.6</v>
      </c>
      <c r="J801" s="9" t="s">
        <v>89</v>
      </c>
      <c r="K801" s="9" t="s">
        <v>44</v>
      </c>
    </row>
    <row r="802" spans="1:11" x14ac:dyDescent="0.25">
      <c r="A802" s="8" t="s">
        <v>78</v>
      </c>
      <c r="B802" s="9" t="s">
        <v>79</v>
      </c>
      <c r="C802" s="9" t="s">
        <v>53</v>
      </c>
      <c r="D802" s="9" t="s">
        <v>103</v>
      </c>
      <c r="E802" s="10">
        <v>2017</v>
      </c>
      <c r="F802" s="10">
        <v>2018</v>
      </c>
      <c r="G802" s="9" t="s">
        <v>42</v>
      </c>
      <c r="H802" s="11">
        <v>2447.7600000000002</v>
      </c>
      <c r="I802" s="11">
        <v>2447.7600000000002</v>
      </c>
      <c r="J802" s="9" t="s">
        <v>89</v>
      </c>
      <c r="K802" s="9" t="s">
        <v>44</v>
      </c>
    </row>
    <row r="803" spans="1:11" x14ac:dyDescent="0.25">
      <c r="A803" s="8" t="s">
        <v>78</v>
      </c>
      <c r="B803" s="9" t="s">
        <v>79</v>
      </c>
      <c r="C803" s="9" t="s">
        <v>53</v>
      </c>
      <c r="D803" s="9" t="s">
        <v>103</v>
      </c>
      <c r="E803" s="10">
        <v>2017</v>
      </c>
      <c r="F803" s="10">
        <v>2018</v>
      </c>
      <c r="G803" s="9" t="s">
        <v>45</v>
      </c>
      <c r="H803" s="11">
        <v>6.27</v>
      </c>
      <c r="I803" s="11">
        <v>6.27</v>
      </c>
      <c r="J803" s="9" t="s">
        <v>89</v>
      </c>
      <c r="K803" s="9" t="s">
        <v>44</v>
      </c>
    </row>
    <row r="804" spans="1:11" x14ac:dyDescent="0.25">
      <c r="A804" s="8" t="s">
        <v>78</v>
      </c>
      <c r="B804" s="9" t="s">
        <v>79</v>
      </c>
      <c r="C804" s="9" t="s">
        <v>53</v>
      </c>
      <c r="D804" s="9" t="s">
        <v>103</v>
      </c>
      <c r="E804" s="10">
        <v>2017</v>
      </c>
      <c r="F804" s="10">
        <v>2018</v>
      </c>
      <c r="G804" s="9" t="s">
        <v>46</v>
      </c>
      <c r="H804" s="11">
        <v>54056.29</v>
      </c>
      <c r="I804" s="11">
        <v>54056.29</v>
      </c>
      <c r="J804" s="9" t="s">
        <v>89</v>
      </c>
      <c r="K804" s="9" t="s">
        <v>44</v>
      </c>
    </row>
    <row r="805" spans="1:11" x14ac:dyDescent="0.25">
      <c r="A805" s="8" t="s">
        <v>78</v>
      </c>
      <c r="B805" s="9" t="s">
        <v>79</v>
      </c>
      <c r="C805" s="9" t="s">
        <v>53</v>
      </c>
      <c r="D805" s="9" t="s">
        <v>103</v>
      </c>
      <c r="E805" s="10">
        <v>2017</v>
      </c>
      <c r="F805" s="10">
        <v>2018</v>
      </c>
      <c r="G805" s="9" t="s">
        <v>64</v>
      </c>
      <c r="H805" s="11">
        <v>1.1100000000000001</v>
      </c>
      <c r="I805" s="11">
        <v>1.1100000000000001</v>
      </c>
      <c r="J805" s="9" t="s">
        <v>89</v>
      </c>
      <c r="K805" s="9" t="s">
        <v>44</v>
      </c>
    </row>
    <row r="806" spans="1:11" x14ac:dyDescent="0.25">
      <c r="A806" s="8" t="s">
        <v>78</v>
      </c>
      <c r="B806" s="9" t="s">
        <v>79</v>
      </c>
      <c r="C806" s="9" t="s">
        <v>53</v>
      </c>
      <c r="D806" s="9" t="s">
        <v>103</v>
      </c>
      <c r="E806" s="10">
        <v>2017</v>
      </c>
      <c r="F806" s="10">
        <v>2018</v>
      </c>
      <c r="G806" s="9" t="s">
        <v>50</v>
      </c>
      <c r="H806" s="11">
        <v>3.79</v>
      </c>
      <c r="I806" s="11">
        <v>3.79</v>
      </c>
      <c r="J806" s="9" t="s">
        <v>89</v>
      </c>
      <c r="K806" s="9" t="s">
        <v>44</v>
      </c>
    </row>
    <row r="807" spans="1:11" x14ac:dyDescent="0.25">
      <c r="A807" s="8" t="s">
        <v>80</v>
      </c>
      <c r="B807" s="9" t="s">
        <v>81</v>
      </c>
      <c r="C807" s="9" t="s">
        <v>49</v>
      </c>
      <c r="D807" s="9" t="s">
        <v>103</v>
      </c>
      <c r="E807" s="10">
        <v>2017</v>
      </c>
      <c r="F807" s="10">
        <v>2018</v>
      </c>
      <c r="G807" s="9" t="s">
        <v>42</v>
      </c>
      <c r="H807" s="11">
        <v>58859.78</v>
      </c>
      <c r="I807" s="11">
        <v>58859.78</v>
      </c>
      <c r="J807" s="9" t="s">
        <v>89</v>
      </c>
      <c r="K807" s="9" t="s">
        <v>44</v>
      </c>
    </row>
    <row r="808" spans="1:11" x14ac:dyDescent="0.25">
      <c r="A808" s="8" t="s">
        <v>80</v>
      </c>
      <c r="B808" s="9" t="s">
        <v>81</v>
      </c>
      <c r="C808" s="9" t="s">
        <v>49</v>
      </c>
      <c r="D808" s="9" t="s">
        <v>103</v>
      </c>
      <c r="E808" s="10">
        <v>2017</v>
      </c>
      <c r="F808" s="10">
        <v>2018</v>
      </c>
      <c r="G808" s="9" t="s">
        <v>45</v>
      </c>
      <c r="H808" s="11">
        <v>311.10000000000002</v>
      </c>
      <c r="I808" s="11">
        <v>311.10000000000002</v>
      </c>
      <c r="J808" s="9" t="s">
        <v>89</v>
      </c>
      <c r="K808" s="9" t="s">
        <v>44</v>
      </c>
    </row>
    <row r="809" spans="1:11" x14ac:dyDescent="0.25">
      <c r="A809" s="8" t="s">
        <v>80</v>
      </c>
      <c r="B809" s="9" t="s">
        <v>81</v>
      </c>
      <c r="C809" s="9" t="s">
        <v>49</v>
      </c>
      <c r="D809" s="9" t="s">
        <v>103</v>
      </c>
      <c r="E809" s="10">
        <v>2017</v>
      </c>
      <c r="F809" s="10">
        <v>2018</v>
      </c>
      <c r="G809" s="9" t="s">
        <v>46</v>
      </c>
      <c r="H809" s="11">
        <v>229452.93</v>
      </c>
      <c r="I809" s="11">
        <v>229452.93</v>
      </c>
      <c r="J809" s="9" t="s">
        <v>89</v>
      </c>
      <c r="K809" s="9" t="s">
        <v>44</v>
      </c>
    </row>
    <row r="810" spans="1:11" x14ac:dyDescent="0.25">
      <c r="A810" s="8" t="s">
        <v>80</v>
      </c>
      <c r="B810" s="9" t="s">
        <v>81</v>
      </c>
      <c r="C810" s="9" t="s">
        <v>49</v>
      </c>
      <c r="D810" s="9" t="s">
        <v>103</v>
      </c>
      <c r="E810" s="10">
        <v>2017</v>
      </c>
      <c r="F810" s="10">
        <v>2018</v>
      </c>
      <c r="G810" s="9" t="s">
        <v>50</v>
      </c>
      <c r="H810" s="11">
        <v>28.63</v>
      </c>
      <c r="I810" s="11">
        <v>28.63</v>
      </c>
      <c r="J810" s="9" t="s">
        <v>89</v>
      </c>
      <c r="K810" s="9" t="s">
        <v>44</v>
      </c>
    </row>
    <row r="811" spans="1:11" x14ac:dyDescent="0.25">
      <c r="A811" s="8" t="s">
        <v>82</v>
      </c>
      <c r="B811" s="9" t="s">
        <v>83</v>
      </c>
      <c r="C811" s="9" t="s">
        <v>40</v>
      </c>
      <c r="D811" s="9" t="s">
        <v>103</v>
      </c>
      <c r="E811" s="10">
        <v>2017</v>
      </c>
      <c r="F811" s="10">
        <v>2018</v>
      </c>
      <c r="G811" s="9" t="s">
        <v>42</v>
      </c>
      <c r="H811" s="11">
        <v>4362.8100000000004</v>
      </c>
      <c r="I811" s="11">
        <v>4362.8100000000004</v>
      </c>
      <c r="J811" s="9" t="s">
        <v>89</v>
      </c>
      <c r="K811" s="9" t="s">
        <v>44</v>
      </c>
    </row>
    <row r="812" spans="1:11" x14ac:dyDescent="0.25">
      <c r="A812" s="8" t="s">
        <v>82</v>
      </c>
      <c r="B812" s="9" t="s">
        <v>83</v>
      </c>
      <c r="C812" s="9" t="s">
        <v>40</v>
      </c>
      <c r="D812" s="9" t="s">
        <v>103</v>
      </c>
      <c r="E812" s="10">
        <v>2017</v>
      </c>
      <c r="F812" s="10">
        <v>2018</v>
      </c>
      <c r="G812" s="9" t="s">
        <v>45</v>
      </c>
      <c r="H812" s="11">
        <v>8.92</v>
      </c>
      <c r="I812" s="11">
        <v>8.92</v>
      </c>
      <c r="J812" s="9" t="s">
        <v>89</v>
      </c>
      <c r="K812" s="9" t="s">
        <v>44</v>
      </c>
    </row>
    <row r="813" spans="1:11" x14ac:dyDescent="0.25">
      <c r="A813" s="8" t="s">
        <v>82</v>
      </c>
      <c r="B813" s="9" t="s">
        <v>83</v>
      </c>
      <c r="C813" s="9" t="s">
        <v>40</v>
      </c>
      <c r="D813" s="9" t="s">
        <v>103</v>
      </c>
      <c r="E813" s="10">
        <v>2017</v>
      </c>
      <c r="F813" s="10">
        <v>2018</v>
      </c>
      <c r="G813" s="9" t="s">
        <v>46</v>
      </c>
      <c r="H813" s="11">
        <v>22186.720000000001</v>
      </c>
      <c r="I813" s="11">
        <v>22186.720000000001</v>
      </c>
      <c r="J813" s="9" t="s">
        <v>89</v>
      </c>
      <c r="K813" s="9" t="s">
        <v>44</v>
      </c>
    </row>
    <row r="814" spans="1:11" x14ac:dyDescent="0.25">
      <c r="A814" s="8" t="s">
        <v>82</v>
      </c>
      <c r="B814" s="9" t="s">
        <v>83</v>
      </c>
      <c r="C814" s="9" t="s">
        <v>40</v>
      </c>
      <c r="D814" s="9" t="s">
        <v>103</v>
      </c>
      <c r="E814" s="10">
        <v>2017</v>
      </c>
      <c r="F814" s="10">
        <v>2018</v>
      </c>
      <c r="G814" s="9" t="s">
        <v>64</v>
      </c>
      <c r="H814" s="11">
        <v>6.07</v>
      </c>
      <c r="I814" s="11">
        <v>6.07</v>
      </c>
      <c r="J814" s="9" t="s">
        <v>89</v>
      </c>
      <c r="K814" s="9" t="s">
        <v>44</v>
      </c>
    </row>
    <row r="815" spans="1:11" x14ac:dyDescent="0.25">
      <c r="A815" s="8" t="s">
        <v>84</v>
      </c>
      <c r="B815" s="9" t="s">
        <v>85</v>
      </c>
      <c r="C815" s="9" t="s">
        <v>85</v>
      </c>
      <c r="D815" s="9" t="s">
        <v>103</v>
      </c>
      <c r="E815" s="10">
        <v>2017</v>
      </c>
      <c r="F815" s="10">
        <v>2018</v>
      </c>
      <c r="G815" s="9" t="s">
        <v>42</v>
      </c>
      <c r="H815" s="11">
        <v>173157.57</v>
      </c>
      <c r="I815" s="11">
        <v>173157.57</v>
      </c>
      <c r="J815" s="9" t="s">
        <v>89</v>
      </c>
      <c r="K815" s="9" t="s">
        <v>44</v>
      </c>
    </row>
    <row r="816" spans="1:11" x14ac:dyDescent="0.25">
      <c r="A816" s="8" t="s">
        <v>84</v>
      </c>
      <c r="B816" s="9" t="s">
        <v>85</v>
      </c>
      <c r="C816" s="9" t="s">
        <v>85</v>
      </c>
      <c r="D816" s="9" t="s">
        <v>103</v>
      </c>
      <c r="E816" s="10">
        <v>2017</v>
      </c>
      <c r="F816" s="10">
        <v>2018</v>
      </c>
      <c r="G816" s="9" t="s">
        <v>45</v>
      </c>
      <c r="H816" s="11">
        <v>237.82</v>
      </c>
      <c r="I816" s="11">
        <v>237.82</v>
      </c>
      <c r="J816" s="9" t="s">
        <v>89</v>
      </c>
      <c r="K816" s="9" t="s">
        <v>44</v>
      </c>
    </row>
    <row r="817" spans="1:11" x14ac:dyDescent="0.25">
      <c r="A817" s="8" t="s">
        <v>84</v>
      </c>
      <c r="B817" s="9" t="s">
        <v>85</v>
      </c>
      <c r="C817" s="9" t="s">
        <v>85</v>
      </c>
      <c r="D817" s="9" t="s">
        <v>103</v>
      </c>
      <c r="E817" s="10">
        <v>2017</v>
      </c>
      <c r="F817" s="10">
        <v>2018</v>
      </c>
      <c r="G817" s="9" t="s">
        <v>46</v>
      </c>
      <c r="H817" s="11">
        <v>77667.460000000006</v>
      </c>
      <c r="I817" s="11">
        <v>77667.460000000006</v>
      </c>
      <c r="J817" s="9" t="s">
        <v>89</v>
      </c>
      <c r="K817" s="9" t="s">
        <v>44</v>
      </c>
    </row>
    <row r="818" spans="1:11" x14ac:dyDescent="0.25">
      <c r="A818" s="8" t="s">
        <v>84</v>
      </c>
      <c r="B818" s="9" t="s">
        <v>85</v>
      </c>
      <c r="C818" s="9" t="s">
        <v>85</v>
      </c>
      <c r="D818" s="9" t="s">
        <v>103</v>
      </c>
      <c r="E818" s="10">
        <v>2017</v>
      </c>
      <c r="F818" s="10">
        <v>2018</v>
      </c>
      <c r="G818" s="9" t="s">
        <v>64</v>
      </c>
      <c r="H818" s="11">
        <v>3.53</v>
      </c>
      <c r="I818" s="11">
        <v>3.53</v>
      </c>
      <c r="J818" s="9" t="s">
        <v>89</v>
      </c>
      <c r="K818" s="9" t="s">
        <v>44</v>
      </c>
    </row>
    <row r="819" spans="1:11" x14ac:dyDescent="0.25">
      <c r="A819" s="8" t="s">
        <v>84</v>
      </c>
      <c r="B819" s="9" t="s">
        <v>85</v>
      </c>
      <c r="C819" s="9" t="s">
        <v>85</v>
      </c>
      <c r="D819" s="9" t="s">
        <v>103</v>
      </c>
      <c r="E819" s="10">
        <v>2017</v>
      </c>
      <c r="F819" s="10">
        <v>2018</v>
      </c>
      <c r="G819" s="9" t="s">
        <v>50</v>
      </c>
      <c r="H819" s="11">
        <v>3196.67</v>
      </c>
      <c r="I819" s="11">
        <v>3196.67</v>
      </c>
      <c r="J819" s="9" t="s">
        <v>89</v>
      </c>
      <c r="K819" s="9" t="s">
        <v>44</v>
      </c>
    </row>
    <row r="820" spans="1:11" x14ac:dyDescent="0.25">
      <c r="A820" s="8" t="s">
        <v>86</v>
      </c>
      <c r="B820" s="9" t="s">
        <v>87</v>
      </c>
      <c r="C820" s="9" t="s">
        <v>69</v>
      </c>
      <c r="D820" s="9" t="s">
        <v>103</v>
      </c>
      <c r="E820" s="10">
        <v>2017</v>
      </c>
      <c r="F820" s="10">
        <v>2018</v>
      </c>
      <c r="G820" s="9" t="s">
        <v>42</v>
      </c>
      <c r="H820" s="11">
        <v>143129.60000000001</v>
      </c>
      <c r="I820" s="11">
        <v>143129.60000000001</v>
      </c>
      <c r="J820" s="9" t="s">
        <v>89</v>
      </c>
      <c r="K820" s="9" t="s">
        <v>44</v>
      </c>
    </row>
    <row r="821" spans="1:11" x14ac:dyDescent="0.25">
      <c r="A821" s="8" t="s">
        <v>86</v>
      </c>
      <c r="B821" s="9" t="s">
        <v>87</v>
      </c>
      <c r="C821" s="9" t="s">
        <v>69</v>
      </c>
      <c r="D821" s="9" t="s">
        <v>103</v>
      </c>
      <c r="E821" s="10">
        <v>2017</v>
      </c>
      <c r="F821" s="10">
        <v>2018</v>
      </c>
      <c r="G821" s="9" t="s">
        <v>45</v>
      </c>
      <c r="H821" s="11">
        <v>67.819999999999993</v>
      </c>
      <c r="I821" s="11">
        <v>67.819999999999993</v>
      </c>
      <c r="J821" s="9" t="s">
        <v>89</v>
      </c>
      <c r="K821" s="9" t="s">
        <v>44</v>
      </c>
    </row>
    <row r="822" spans="1:11" x14ac:dyDescent="0.25">
      <c r="A822" s="8" t="s">
        <v>86</v>
      </c>
      <c r="B822" s="9" t="s">
        <v>87</v>
      </c>
      <c r="C822" s="9" t="s">
        <v>69</v>
      </c>
      <c r="D822" s="9" t="s">
        <v>103</v>
      </c>
      <c r="E822" s="10">
        <v>2017</v>
      </c>
      <c r="F822" s="10">
        <v>2018</v>
      </c>
      <c r="G822" s="9" t="s">
        <v>46</v>
      </c>
      <c r="H822" s="11">
        <v>20850.240000000002</v>
      </c>
      <c r="I822" s="11">
        <v>20850.240000000002</v>
      </c>
      <c r="J822" s="9" t="s">
        <v>89</v>
      </c>
      <c r="K822" s="9" t="s">
        <v>44</v>
      </c>
    </row>
    <row r="823" spans="1:11" x14ac:dyDescent="0.25">
      <c r="A823" s="8" t="s">
        <v>86</v>
      </c>
      <c r="B823" s="9" t="s">
        <v>87</v>
      </c>
      <c r="C823" s="9" t="s">
        <v>69</v>
      </c>
      <c r="D823" s="9" t="s">
        <v>103</v>
      </c>
      <c r="E823" s="10">
        <v>2017</v>
      </c>
      <c r="F823" s="10">
        <v>2018</v>
      </c>
      <c r="G823" s="9" t="s">
        <v>64</v>
      </c>
      <c r="H823" s="11">
        <v>3.46</v>
      </c>
      <c r="I823" s="11">
        <v>3.46</v>
      </c>
      <c r="J823" s="9" t="s">
        <v>89</v>
      </c>
      <c r="K823" s="9" t="s">
        <v>44</v>
      </c>
    </row>
    <row r="824" spans="1:11" x14ac:dyDescent="0.25">
      <c r="A824" s="8" t="s">
        <v>86</v>
      </c>
      <c r="B824" s="9" t="s">
        <v>87</v>
      </c>
      <c r="C824" s="9" t="s">
        <v>69</v>
      </c>
      <c r="D824" s="9" t="s">
        <v>103</v>
      </c>
      <c r="E824" s="10">
        <v>2017</v>
      </c>
      <c r="F824" s="10">
        <v>2018</v>
      </c>
      <c r="G824" s="9" t="s">
        <v>50</v>
      </c>
      <c r="H824" s="11">
        <v>1393.32</v>
      </c>
      <c r="I824" s="11">
        <v>1393.32</v>
      </c>
      <c r="J824" s="9" t="s">
        <v>89</v>
      </c>
      <c r="K824" s="9" t="s">
        <v>44</v>
      </c>
    </row>
    <row r="825" spans="1:11" x14ac:dyDescent="0.25">
      <c r="A825" s="12" t="s">
        <v>38</v>
      </c>
      <c r="B825" s="13" t="s">
        <v>39</v>
      </c>
      <c r="C825" s="13" t="s">
        <v>40</v>
      </c>
      <c r="D825" s="13" t="s">
        <v>104</v>
      </c>
      <c r="E825" s="14">
        <v>2018</v>
      </c>
      <c r="F825" s="14">
        <v>2019</v>
      </c>
      <c r="G825" s="13" t="s">
        <v>45</v>
      </c>
      <c r="H825" s="15">
        <v>2.7</v>
      </c>
      <c r="I825" s="15">
        <v>2.7</v>
      </c>
      <c r="J825" s="13" t="s">
        <v>105</v>
      </c>
      <c r="K825" s="13" t="s">
        <v>95</v>
      </c>
    </row>
    <row r="826" spans="1:11" x14ac:dyDescent="0.25">
      <c r="A826" s="12" t="s">
        <v>47</v>
      </c>
      <c r="B826" s="13" t="s">
        <v>48</v>
      </c>
      <c r="C826" s="13" t="s">
        <v>49</v>
      </c>
      <c r="D826" s="13" t="s">
        <v>104</v>
      </c>
      <c r="E826" s="14">
        <v>2018</v>
      </c>
      <c r="F826" s="14">
        <v>2019</v>
      </c>
      <c r="G826" s="13" t="s">
        <v>45</v>
      </c>
      <c r="H826" s="15">
        <v>97.73</v>
      </c>
      <c r="I826" s="15">
        <v>97.73</v>
      </c>
      <c r="J826" s="13" t="s">
        <v>105</v>
      </c>
      <c r="K826" s="13" t="s">
        <v>95</v>
      </c>
    </row>
    <row r="827" spans="1:11" x14ac:dyDescent="0.25">
      <c r="A827" s="12" t="s">
        <v>51</v>
      </c>
      <c r="B827" s="13" t="s">
        <v>52</v>
      </c>
      <c r="C827" s="13" t="s">
        <v>53</v>
      </c>
      <c r="D827" s="13" t="s">
        <v>104</v>
      </c>
      <c r="E827" s="14">
        <v>2018</v>
      </c>
      <c r="F827" s="14">
        <v>2019</v>
      </c>
      <c r="G827" s="13" t="s">
        <v>45</v>
      </c>
      <c r="H827" s="15">
        <v>10.53</v>
      </c>
      <c r="I827" s="15">
        <v>10.53</v>
      </c>
      <c r="J827" s="13" t="s">
        <v>105</v>
      </c>
      <c r="K827" s="13" t="s">
        <v>95</v>
      </c>
    </row>
    <row r="828" spans="1:11" x14ac:dyDescent="0.25">
      <c r="A828" s="12" t="s">
        <v>54</v>
      </c>
      <c r="B828" s="13" t="s">
        <v>55</v>
      </c>
      <c r="C828" s="13" t="s">
        <v>49</v>
      </c>
      <c r="D828" s="13" t="s">
        <v>104</v>
      </c>
      <c r="E828" s="14">
        <v>2018</v>
      </c>
      <c r="F828" s="14">
        <v>2019</v>
      </c>
      <c r="G828" s="13" t="s">
        <v>45</v>
      </c>
      <c r="H828" s="15">
        <v>168.34</v>
      </c>
      <c r="I828" s="15">
        <v>168.34</v>
      </c>
      <c r="J828" s="13" t="s">
        <v>105</v>
      </c>
      <c r="K828" s="13" t="s">
        <v>95</v>
      </c>
    </row>
    <row r="829" spans="1:11" x14ac:dyDescent="0.25">
      <c r="A829" s="12" t="s">
        <v>56</v>
      </c>
      <c r="B829" s="13" t="s">
        <v>57</v>
      </c>
      <c r="C829" s="13" t="s">
        <v>40</v>
      </c>
      <c r="D829" s="13" t="s">
        <v>104</v>
      </c>
      <c r="E829" s="14">
        <v>2018</v>
      </c>
      <c r="F829" s="14">
        <v>2019</v>
      </c>
      <c r="G829" s="13" t="s">
        <v>45</v>
      </c>
      <c r="H829" s="15">
        <v>49.62</v>
      </c>
      <c r="I829" s="15">
        <v>49.62</v>
      </c>
      <c r="J829" s="13" t="s">
        <v>105</v>
      </c>
      <c r="K829" s="13" t="s">
        <v>95</v>
      </c>
    </row>
    <row r="830" spans="1:11" x14ac:dyDescent="0.25">
      <c r="A830" s="12" t="s">
        <v>58</v>
      </c>
      <c r="B830" s="13" t="s">
        <v>59</v>
      </c>
      <c r="C830" s="13" t="s">
        <v>49</v>
      </c>
      <c r="D830" s="13" t="s">
        <v>104</v>
      </c>
      <c r="E830" s="14">
        <v>2018</v>
      </c>
      <c r="F830" s="14">
        <v>2019</v>
      </c>
      <c r="G830" s="13" t="s">
        <v>45</v>
      </c>
      <c r="H830" s="15">
        <v>37.18</v>
      </c>
      <c r="I830" s="15">
        <v>37.18</v>
      </c>
      <c r="J830" s="13" t="s">
        <v>105</v>
      </c>
      <c r="K830" s="13" t="s">
        <v>95</v>
      </c>
    </row>
    <row r="831" spans="1:11" x14ac:dyDescent="0.25">
      <c r="A831" s="12" t="s">
        <v>60</v>
      </c>
      <c r="B831" s="13" t="s">
        <v>61</v>
      </c>
      <c r="C831" s="13" t="s">
        <v>40</v>
      </c>
      <c r="D831" s="13" t="s">
        <v>104</v>
      </c>
      <c r="E831" s="14">
        <v>2018</v>
      </c>
      <c r="F831" s="14">
        <v>2019</v>
      </c>
      <c r="G831" s="13" t="s">
        <v>45</v>
      </c>
      <c r="H831" s="15">
        <v>309.13</v>
      </c>
      <c r="I831" s="15">
        <v>309.13</v>
      </c>
      <c r="J831" s="13" t="s">
        <v>105</v>
      </c>
      <c r="K831" s="13" t="s">
        <v>95</v>
      </c>
    </row>
    <row r="832" spans="1:11" x14ac:dyDescent="0.25">
      <c r="A832" s="12" t="s">
        <v>62</v>
      </c>
      <c r="B832" s="13" t="s">
        <v>63</v>
      </c>
      <c r="C832" s="13" t="s">
        <v>40</v>
      </c>
      <c r="D832" s="13" t="s">
        <v>104</v>
      </c>
      <c r="E832" s="14">
        <v>2018</v>
      </c>
      <c r="F832" s="14">
        <v>2019</v>
      </c>
      <c r="G832" s="13" t="s">
        <v>45</v>
      </c>
      <c r="H832" s="15">
        <v>108.86</v>
      </c>
      <c r="I832" s="15">
        <v>108.86</v>
      </c>
      <c r="J832" s="13" t="s">
        <v>105</v>
      </c>
      <c r="K832" s="13" t="s">
        <v>95</v>
      </c>
    </row>
    <row r="833" spans="1:11" x14ac:dyDescent="0.25">
      <c r="A833" s="12" t="s">
        <v>65</v>
      </c>
      <c r="B833" s="13" t="s">
        <v>66</v>
      </c>
      <c r="C833" s="13" t="s">
        <v>40</v>
      </c>
      <c r="D833" s="13" t="s">
        <v>104</v>
      </c>
      <c r="E833" s="14">
        <v>2018</v>
      </c>
      <c r="F833" s="14">
        <v>2019</v>
      </c>
      <c r="G833" s="13" t="s">
        <v>45</v>
      </c>
      <c r="H833" s="15">
        <v>10.58</v>
      </c>
      <c r="I833" s="15">
        <v>10.58</v>
      </c>
      <c r="J833" s="13" t="s">
        <v>105</v>
      </c>
      <c r="K833" s="13" t="s">
        <v>95</v>
      </c>
    </row>
    <row r="834" spans="1:11" x14ac:dyDescent="0.25">
      <c r="A834" s="12" t="s">
        <v>67</v>
      </c>
      <c r="B834" s="13" t="s">
        <v>68</v>
      </c>
      <c r="C834" s="13" t="s">
        <v>69</v>
      </c>
      <c r="D834" s="13" t="s">
        <v>104</v>
      </c>
      <c r="E834" s="14">
        <v>2018</v>
      </c>
      <c r="F834" s="14">
        <v>2019</v>
      </c>
      <c r="G834" s="13" t="s">
        <v>45</v>
      </c>
      <c r="H834" s="15">
        <v>147.76</v>
      </c>
      <c r="I834" s="15">
        <v>147.76</v>
      </c>
      <c r="J834" s="13" t="s">
        <v>105</v>
      </c>
      <c r="K834" s="13" t="s">
        <v>95</v>
      </c>
    </row>
    <row r="835" spans="1:11" x14ac:dyDescent="0.25">
      <c r="A835" s="12" t="s">
        <v>70</v>
      </c>
      <c r="B835" s="13" t="s">
        <v>71</v>
      </c>
      <c r="C835" s="13" t="s">
        <v>49</v>
      </c>
      <c r="D835" s="13" t="s">
        <v>104</v>
      </c>
      <c r="E835" s="14">
        <v>2018</v>
      </c>
      <c r="F835" s="14">
        <v>2019</v>
      </c>
      <c r="G835" s="13" t="s">
        <v>45</v>
      </c>
      <c r="H835" s="15">
        <v>181.07</v>
      </c>
      <c r="I835" s="15">
        <v>181.07</v>
      </c>
      <c r="J835" s="13" t="s">
        <v>105</v>
      </c>
      <c r="K835" s="13" t="s">
        <v>95</v>
      </c>
    </row>
    <row r="836" spans="1:11" x14ac:dyDescent="0.25">
      <c r="A836" s="12" t="s">
        <v>72</v>
      </c>
      <c r="B836" s="13" t="s">
        <v>73</v>
      </c>
      <c r="C836" s="13" t="s">
        <v>53</v>
      </c>
      <c r="D836" s="13" t="s">
        <v>104</v>
      </c>
      <c r="E836" s="14">
        <v>2018</v>
      </c>
      <c r="F836" s="14">
        <v>2019</v>
      </c>
      <c r="G836" s="13" t="s">
        <v>45</v>
      </c>
      <c r="H836" s="15">
        <v>19.12</v>
      </c>
      <c r="I836" s="15">
        <v>19.12</v>
      </c>
      <c r="J836" s="13" t="s">
        <v>105</v>
      </c>
      <c r="K836" s="13" t="s">
        <v>95</v>
      </c>
    </row>
    <row r="837" spans="1:11" x14ac:dyDescent="0.25">
      <c r="A837" s="12" t="s">
        <v>74</v>
      </c>
      <c r="B837" s="13" t="s">
        <v>75</v>
      </c>
      <c r="C837" s="13" t="s">
        <v>40</v>
      </c>
      <c r="D837" s="13" t="s">
        <v>104</v>
      </c>
      <c r="E837" s="14">
        <v>2018</v>
      </c>
      <c r="F837" s="14">
        <v>2019</v>
      </c>
      <c r="G837" s="13" t="s">
        <v>45</v>
      </c>
      <c r="H837" s="15">
        <v>28.84</v>
      </c>
      <c r="I837" s="15">
        <v>28.84</v>
      </c>
      <c r="J837" s="13" t="s">
        <v>105</v>
      </c>
      <c r="K837" s="13" t="s">
        <v>95</v>
      </c>
    </row>
    <row r="838" spans="1:11" x14ac:dyDescent="0.25">
      <c r="A838" s="12" t="s">
        <v>76</v>
      </c>
      <c r="B838" s="13" t="s">
        <v>77</v>
      </c>
      <c r="C838" s="13" t="s">
        <v>53</v>
      </c>
      <c r="D838" s="13" t="s">
        <v>104</v>
      </c>
      <c r="E838" s="14">
        <v>2018</v>
      </c>
      <c r="F838" s="14">
        <v>2019</v>
      </c>
      <c r="G838" s="13" t="s">
        <v>45</v>
      </c>
      <c r="H838" s="15">
        <v>4.17</v>
      </c>
      <c r="I838" s="15">
        <v>4.17</v>
      </c>
      <c r="J838" s="13" t="s">
        <v>105</v>
      </c>
      <c r="K838" s="13" t="s">
        <v>95</v>
      </c>
    </row>
    <row r="839" spans="1:11" x14ac:dyDescent="0.25">
      <c r="A839" s="12" t="s">
        <v>78</v>
      </c>
      <c r="B839" s="13" t="s">
        <v>79</v>
      </c>
      <c r="C839" s="13" t="s">
        <v>53</v>
      </c>
      <c r="D839" s="13" t="s">
        <v>104</v>
      </c>
      <c r="E839" s="14">
        <v>2018</v>
      </c>
      <c r="F839" s="14">
        <v>2019</v>
      </c>
      <c r="G839" s="13" t="s">
        <v>45</v>
      </c>
      <c r="H839" s="15">
        <v>13.44</v>
      </c>
      <c r="I839" s="15">
        <v>13.44</v>
      </c>
      <c r="J839" s="13" t="s">
        <v>105</v>
      </c>
      <c r="K839" s="13" t="s">
        <v>95</v>
      </c>
    </row>
    <row r="840" spans="1:11" x14ac:dyDescent="0.25">
      <c r="A840" s="12" t="s">
        <v>80</v>
      </c>
      <c r="B840" s="13" t="s">
        <v>81</v>
      </c>
      <c r="C840" s="13" t="s">
        <v>49</v>
      </c>
      <c r="D840" s="13" t="s">
        <v>104</v>
      </c>
      <c r="E840" s="14">
        <v>2018</v>
      </c>
      <c r="F840" s="14">
        <v>2019</v>
      </c>
      <c r="G840" s="13" t="s">
        <v>45</v>
      </c>
      <c r="H840" s="15">
        <v>277.18</v>
      </c>
      <c r="I840" s="15">
        <v>277.18</v>
      </c>
      <c r="J840" s="13" t="s">
        <v>105</v>
      </c>
      <c r="K840" s="13" t="s">
        <v>95</v>
      </c>
    </row>
    <row r="841" spans="1:11" x14ac:dyDescent="0.25">
      <c r="A841" s="12" t="s">
        <v>82</v>
      </c>
      <c r="B841" s="13" t="s">
        <v>83</v>
      </c>
      <c r="C841" s="13" t="s">
        <v>40</v>
      </c>
      <c r="D841" s="13" t="s">
        <v>104</v>
      </c>
      <c r="E841" s="14">
        <v>2018</v>
      </c>
      <c r="F841" s="14">
        <v>2019</v>
      </c>
      <c r="G841" s="13" t="s">
        <v>45</v>
      </c>
      <c r="H841" s="15">
        <v>11.36</v>
      </c>
      <c r="I841" s="15">
        <v>11.36</v>
      </c>
      <c r="J841" s="13" t="s">
        <v>105</v>
      </c>
      <c r="K841" s="13" t="s">
        <v>95</v>
      </c>
    </row>
    <row r="842" spans="1:11" x14ac:dyDescent="0.25">
      <c r="A842" s="12" t="s">
        <v>84</v>
      </c>
      <c r="B842" s="13" t="s">
        <v>85</v>
      </c>
      <c r="C842" s="13" t="s">
        <v>85</v>
      </c>
      <c r="D842" s="13" t="s">
        <v>104</v>
      </c>
      <c r="E842" s="14">
        <v>2018</v>
      </c>
      <c r="F842" s="14">
        <v>2019</v>
      </c>
      <c r="G842" s="13" t="s">
        <v>45</v>
      </c>
      <c r="H842" s="15">
        <v>244.43</v>
      </c>
      <c r="I842" s="15">
        <v>244.43</v>
      </c>
      <c r="J842" s="13" t="s">
        <v>105</v>
      </c>
      <c r="K842" s="13" t="s">
        <v>95</v>
      </c>
    </row>
    <row r="843" spans="1:11" x14ac:dyDescent="0.25">
      <c r="A843" s="12" t="s">
        <v>86</v>
      </c>
      <c r="B843" s="13" t="s">
        <v>87</v>
      </c>
      <c r="C843" s="13" t="s">
        <v>69</v>
      </c>
      <c r="D843" s="13" t="s">
        <v>104</v>
      </c>
      <c r="E843" s="14">
        <v>2018</v>
      </c>
      <c r="F843" s="14">
        <v>2019</v>
      </c>
      <c r="G843" s="13" t="s">
        <v>45</v>
      </c>
      <c r="H843" s="15">
        <v>78.13</v>
      </c>
      <c r="I843" s="15">
        <v>78.13</v>
      </c>
      <c r="J843" s="13" t="s">
        <v>105</v>
      </c>
      <c r="K843" s="13" t="s">
        <v>95</v>
      </c>
    </row>
    <row r="844" spans="1:11" x14ac:dyDescent="0.25">
      <c r="A844" s="8" t="s">
        <v>38</v>
      </c>
      <c r="B844" s="9" t="s">
        <v>39</v>
      </c>
      <c r="C844" s="9" t="s">
        <v>40</v>
      </c>
      <c r="D844" s="9" t="s">
        <v>106</v>
      </c>
      <c r="E844" s="10">
        <v>2019</v>
      </c>
      <c r="F844" s="10">
        <v>2020</v>
      </c>
      <c r="G844" s="9" t="s">
        <v>42</v>
      </c>
      <c r="H844" s="11">
        <v>13617.96</v>
      </c>
      <c r="I844" s="11">
        <v>13617.96</v>
      </c>
      <c r="J844" s="9" t="s">
        <v>89</v>
      </c>
      <c r="K844" s="9" t="s">
        <v>44</v>
      </c>
    </row>
    <row r="845" spans="1:11" x14ac:dyDescent="0.25">
      <c r="A845" s="8" t="s">
        <v>38</v>
      </c>
      <c r="B845" s="9" t="s">
        <v>39</v>
      </c>
      <c r="C845" s="9" t="s">
        <v>40</v>
      </c>
      <c r="D845" s="9" t="s">
        <v>106</v>
      </c>
      <c r="E845" s="10">
        <v>2019</v>
      </c>
      <c r="F845" s="10">
        <v>2020</v>
      </c>
      <c r="G845" s="9" t="s">
        <v>45</v>
      </c>
      <c r="H845" s="11">
        <v>1.1200000000000001</v>
      </c>
      <c r="I845" s="11">
        <v>1.1200000000000001</v>
      </c>
      <c r="J845" s="9" t="s">
        <v>89</v>
      </c>
      <c r="K845" s="9" t="s">
        <v>44</v>
      </c>
    </row>
    <row r="846" spans="1:11" x14ac:dyDescent="0.25">
      <c r="A846" s="8" t="s">
        <v>38</v>
      </c>
      <c r="B846" s="9" t="s">
        <v>39</v>
      </c>
      <c r="C846" s="9" t="s">
        <v>40</v>
      </c>
      <c r="D846" s="9" t="s">
        <v>106</v>
      </c>
      <c r="E846" s="10">
        <v>2019</v>
      </c>
      <c r="F846" s="10">
        <v>2020</v>
      </c>
      <c r="G846" s="9" t="s">
        <v>46</v>
      </c>
      <c r="H846" s="11">
        <v>16043.91</v>
      </c>
      <c r="I846" s="11">
        <v>16043.91</v>
      </c>
      <c r="J846" s="9" t="s">
        <v>89</v>
      </c>
      <c r="K846" s="9" t="s">
        <v>44</v>
      </c>
    </row>
    <row r="847" spans="1:11" x14ac:dyDescent="0.25">
      <c r="A847" s="8" t="s">
        <v>47</v>
      </c>
      <c r="B847" s="9" t="s">
        <v>48</v>
      </c>
      <c r="C847" s="9" t="s">
        <v>49</v>
      </c>
      <c r="D847" s="9" t="s">
        <v>106</v>
      </c>
      <c r="E847" s="10">
        <v>2019</v>
      </c>
      <c r="F847" s="10">
        <v>2020</v>
      </c>
      <c r="G847" s="9" t="s">
        <v>42</v>
      </c>
      <c r="H847" s="11">
        <v>15600.86</v>
      </c>
      <c r="I847" s="11">
        <v>15600.86</v>
      </c>
      <c r="J847" s="9" t="s">
        <v>89</v>
      </c>
      <c r="K847" s="9" t="s">
        <v>44</v>
      </c>
    </row>
    <row r="848" spans="1:11" x14ac:dyDescent="0.25">
      <c r="A848" s="8" t="s">
        <v>47</v>
      </c>
      <c r="B848" s="9" t="s">
        <v>48</v>
      </c>
      <c r="C848" s="9" t="s">
        <v>49</v>
      </c>
      <c r="D848" s="9" t="s">
        <v>106</v>
      </c>
      <c r="E848" s="10">
        <v>2019</v>
      </c>
      <c r="F848" s="10">
        <v>2020</v>
      </c>
      <c r="G848" s="9" t="s">
        <v>45</v>
      </c>
      <c r="H848" s="11">
        <v>40.54</v>
      </c>
      <c r="I848" s="11">
        <v>40.54</v>
      </c>
      <c r="J848" s="9" t="s">
        <v>89</v>
      </c>
      <c r="K848" s="9" t="s">
        <v>44</v>
      </c>
    </row>
    <row r="849" spans="1:11" x14ac:dyDescent="0.25">
      <c r="A849" s="8" t="s">
        <v>47</v>
      </c>
      <c r="B849" s="9" t="s">
        <v>48</v>
      </c>
      <c r="C849" s="9" t="s">
        <v>49</v>
      </c>
      <c r="D849" s="9" t="s">
        <v>106</v>
      </c>
      <c r="E849" s="10">
        <v>2019</v>
      </c>
      <c r="F849" s="10">
        <v>2020</v>
      </c>
      <c r="G849" s="9" t="s">
        <v>46</v>
      </c>
      <c r="H849" s="11">
        <v>37638.29</v>
      </c>
      <c r="I849" s="11">
        <v>37638.29</v>
      </c>
      <c r="J849" s="9" t="s">
        <v>89</v>
      </c>
      <c r="K849" s="9" t="s">
        <v>44</v>
      </c>
    </row>
    <row r="850" spans="1:11" x14ac:dyDescent="0.25">
      <c r="A850" s="8" t="s">
        <v>47</v>
      </c>
      <c r="B850" s="9" t="s">
        <v>48</v>
      </c>
      <c r="C850" s="9" t="s">
        <v>49</v>
      </c>
      <c r="D850" s="9" t="s">
        <v>106</v>
      </c>
      <c r="E850" s="10">
        <v>2019</v>
      </c>
      <c r="F850" s="10">
        <v>2020</v>
      </c>
      <c r="G850" s="9" t="s">
        <v>50</v>
      </c>
      <c r="H850" s="11">
        <v>0.91</v>
      </c>
      <c r="I850" s="11">
        <v>0.91</v>
      </c>
      <c r="J850" s="9" t="s">
        <v>89</v>
      </c>
      <c r="K850" s="9" t="s">
        <v>44</v>
      </c>
    </row>
    <row r="851" spans="1:11" x14ac:dyDescent="0.25">
      <c r="A851" s="8" t="s">
        <v>51</v>
      </c>
      <c r="B851" s="9" t="s">
        <v>52</v>
      </c>
      <c r="C851" s="9" t="s">
        <v>53</v>
      </c>
      <c r="D851" s="9" t="s">
        <v>106</v>
      </c>
      <c r="E851" s="10">
        <v>2019</v>
      </c>
      <c r="F851" s="10">
        <v>2020</v>
      </c>
      <c r="G851" s="9" t="s">
        <v>42</v>
      </c>
      <c r="H851" s="11">
        <v>1933.76</v>
      </c>
      <c r="I851" s="11">
        <v>1933.76</v>
      </c>
      <c r="J851" s="9" t="s">
        <v>89</v>
      </c>
      <c r="K851" s="9" t="s">
        <v>44</v>
      </c>
    </row>
    <row r="852" spans="1:11" x14ac:dyDescent="0.25">
      <c r="A852" s="8" t="s">
        <v>51</v>
      </c>
      <c r="B852" s="9" t="s">
        <v>52</v>
      </c>
      <c r="C852" s="9" t="s">
        <v>53</v>
      </c>
      <c r="D852" s="9" t="s">
        <v>106</v>
      </c>
      <c r="E852" s="10">
        <v>2019</v>
      </c>
      <c r="F852" s="10">
        <v>2020</v>
      </c>
      <c r="G852" s="9" t="s">
        <v>45</v>
      </c>
      <c r="H852" s="11">
        <v>4.92</v>
      </c>
      <c r="I852" s="11">
        <v>4.92</v>
      </c>
      <c r="J852" s="9" t="s">
        <v>89</v>
      </c>
      <c r="K852" s="9" t="s">
        <v>44</v>
      </c>
    </row>
    <row r="853" spans="1:11" x14ac:dyDescent="0.25">
      <c r="A853" s="8" t="s">
        <v>51</v>
      </c>
      <c r="B853" s="9" t="s">
        <v>52</v>
      </c>
      <c r="C853" s="9" t="s">
        <v>53</v>
      </c>
      <c r="D853" s="9" t="s">
        <v>106</v>
      </c>
      <c r="E853" s="10">
        <v>2019</v>
      </c>
      <c r="F853" s="10">
        <v>2020</v>
      </c>
      <c r="G853" s="9" t="s">
        <v>46</v>
      </c>
      <c r="H853" s="11">
        <v>72080.13</v>
      </c>
      <c r="I853" s="11">
        <v>72080.13</v>
      </c>
      <c r="J853" s="9" t="s">
        <v>89</v>
      </c>
      <c r="K853" s="9" t="s">
        <v>44</v>
      </c>
    </row>
    <row r="854" spans="1:11" x14ac:dyDescent="0.25">
      <c r="A854" s="8" t="s">
        <v>51</v>
      </c>
      <c r="B854" s="9" t="s">
        <v>52</v>
      </c>
      <c r="C854" s="9" t="s">
        <v>53</v>
      </c>
      <c r="D854" s="9" t="s">
        <v>106</v>
      </c>
      <c r="E854" s="10">
        <v>2019</v>
      </c>
      <c r="F854" s="10">
        <v>2020</v>
      </c>
      <c r="G854" s="9" t="s">
        <v>50</v>
      </c>
      <c r="H854" s="11">
        <v>45.72</v>
      </c>
      <c r="I854" s="11">
        <v>45.72</v>
      </c>
      <c r="J854" s="9" t="s">
        <v>89</v>
      </c>
      <c r="K854" s="9" t="s">
        <v>44</v>
      </c>
    </row>
    <row r="855" spans="1:11" x14ac:dyDescent="0.25">
      <c r="A855" s="8" t="s">
        <v>54</v>
      </c>
      <c r="B855" s="9" t="s">
        <v>55</v>
      </c>
      <c r="C855" s="9" t="s">
        <v>49</v>
      </c>
      <c r="D855" s="9" t="s">
        <v>106</v>
      </c>
      <c r="E855" s="10">
        <v>2019</v>
      </c>
      <c r="F855" s="10">
        <v>2020</v>
      </c>
      <c r="G855" s="9" t="s">
        <v>42</v>
      </c>
      <c r="H855" s="11">
        <v>4006.41</v>
      </c>
      <c r="I855" s="11">
        <v>4006.41</v>
      </c>
      <c r="J855" s="9" t="s">
        <v>89</v>
      </c>
      <c r="K855" s="9" t="s">
        <v>44</v>
      </c>
    </row>
    <row r="856" spans="1:11" x14ac:dyDescent="0.25">
      <c r="A856" s="8" t="s">
        <v>54</v>
      </c>
      <c r="B856" s="9" t="s">
        <v>55</v>
      </c>
      <c r="C856" s="9" t="s">
        <v>49</v>
      </c>
      <c r="D856" s="9" t="s">
        <v>106</v>
      </c>
      <c r="E856" s="10">
        <v>2019</v>
      </c>
      <c r="F856" s="10">
        <v>2020</v>
      </c>
      <c r="G856" s="9" t="s">
        <v>45</v>
      </c>
      <c r="H856" s="11">
        <v>50.91</v>
      </c>
      <c r="I856" s="11">
        <v>50.91</v>
      </c>
      <c r="J856" s="9" t="s">
        <v>89</v>
      </c>
      <c r="K856" s="9" t="s">
        <v>44</v>
      </c>
    </row>
    <row r="857" spans="1:11" x14ac:dyDescent="0.25">
      <c r="A857" s="8" t="s">
        <v>54</v>
      </c>
      <c r="B857" s="9" t="s">
        <v>55</v>
      </c>
      <c r="C857" s="9" t="s">
        <v>49</v>
      </c>
      <c r="D857" s="9" t="s">
        <v>106</v>
      </c>
      <c r="E857" s="10">
        <v>2019</v>
      </c>
      <c r="F857" s="10">
        <v>2020</v>
      </c>
      <c r="G857" s="9" t="s">
        <v>46</v>
      </c>
      <c r="H857" s="11">
        <v>34305.03</v>
      </c>
      <c r="I857" s="11">
        <v>34305.03</v>
      </c>
      <c r="J857" s="9" t="s">
        <v>89</v>
      </c>
      <c r="K857" s="9" t="s">
        <v>44</v>
      </c>
    </row>
    <row r="858" spans="1:11" x14ac:dyDescent="0.25">
      <c r="A858" s="8" t="s">
        <v>54</v>
      </c>
      <c r="B858" s="9" t="s">
        <v>55</v>
      </c>
      <c r="C858" s="9" t="s">
        <v>49</v>
      </c>
      <c r="D858" s="9" t="s">
        <v>106</v>
      </c>
      <c r="E858" s="10">
        <v>2019</v>
      </c>
      <c r="F858" s="10">
        <v>2020</v>
      </c>
      <c r="G858" s="9" t="s">
        <v>50</v>
      </c>
      <c r="H858" s="11">
        <v>1.92</v>
      </c>
      <c r="I858" s="11">
        <v>1.92</v>
      </c>
      <c r="J858" s="9" t="s">
        <v>89</v>
      </c>
      <c r="K858" s="9" t="s">
        <v>44</v>
      </c>
    </row>
    <row r="859" spans="1:11" x14ac:dyDescent="0.25">
      <c r="A859" s="8" t="s">
        <v>56</v>
      </c>
      <c r="B859" s="9" t="s">
        <v>57</v>
      </c>
      <c r="C859" s="9" t="s">
        <v>40</v>
      </c>
      <c r="D859" s="9" t="s">
        <v>106</v>
      </c>
      <c r="E859" s="10">
        <v>2019</v>
      </c>
      <c r="F859" s="10">
        <v>2020</v>
      </c>
      <c r="G859" s="9" t="s">
        <v>42</v>
      </c>
      <c r="H859" s="11">
        <v>12371.45</v>
      </c>
      <c r="I859" s="11">
        <v>12371.45</v>
      </c>
      <c r="J859" s="9" t="s">
        <v>89</v>
      </c>
      <c r="K859" s="9" t="s">
        <v>44</v>
      </c>
    </row>
    <row r="860" spans="1:11" x14ac:dyDescent="0.25">
      <c r="A860" s="8" t="s">
        <v>56</v>
      </c>
      <c r="B860" s="9" t="s">
        <v>57</v>
      </c>
      <c r="C860" s="9" t="s">
        <v>40</v>
      </c>
      <c r="D860" s="9" t="s">
        <v>106</v>
      </c>
      <c r="E860" s="10">
        <v>2019</v>
      </c>
      <c r="F860" s="10">
        <v>2020</v>
      </c>
      <c r="G860" s="9" t="s">
        <v>45</v>
      </c>
      <c r="H860" s="11">
        <v>38.630000000000003</v>
      </c>
      <c r="I860" s="11">
        <v>38.630000000000003</v>
      </c>
      <c r="J860" s="9" t="s">
        <v>89</v>
      </c>
      <c r="K860" s="9" t="s">
        <v>44</v>
      </c>
    </row>
    <row r="861" spans="1:11" x14ac:dyDescent="0.25">
      <c r="A861" s="8" t="s">
        <v>56</v>
      </c>
      <c r="B861" s="9" t="s">
        <v>57</v>
      </c>
      <c r="C861" s="9" t="s">
        <v>40</v>
      </c>
      <c r="D861" s="9" t="s">
        <v>106</v>
      </c>
      <c r="E861" s="10">
        <v>2019</v>
      </c>
      <c r="F861" s="10">
        <v>2020</v>
      </c>
      <c r="G861" s="9" t="s">
        <v>46</v>
      </c>
      <c r="H861" s="11">
        <v>24035.200000000001</v>
      </c>
      <c r="I861" s="11">
        <v>24035.200000000001</v>
      </c>
      <c r="J861" s="9" t="s">
        <v>89</v>
      </c>
      <c r="K861" s="9" t="s">
        <v>44</v>
      </c>
    </row>
    <row r="862" spans="1:11" x14ac:dyDescent="0.25">
      <c r="A862" s="8" t="s">
        <v>58</v>
      </c>
      <c r="B862" s="9" t="s">
        <v>59</v>
      </c>
      <c r="C862" s="9" t="s">
        <v>49</v>
      </c>
      <c r="D862" s="9" t="s">
        <v>106</v>
      </c>
      <c r="E862" s="10">
        <v>2019</v>
      </c>
      <c r="F862" s="10">
        <v>2020</v>
      </c>
      <c r="G862" s="9" t="s">
        <v>42</v>
      </c>
      <c r="H862" s="11">
        <v>18892.91</v>
      </c>
      <c r="I862" s="11">
        <v>18892.91</v>
      </c>
      <c r="J862" s="9" t="s">
        <v>89</v>
      </c>
      <c r="K862" s="9" t="s">
        <v>44</v>
      </c>
    </row>
    <row r="863" spans="1:11" x14ac:dyDescent="0.25">
      <c r="A863" s="8" t="s">
        <v>58</v>
      </c>
      <c r="B863" s="9" t="s">
        <v>59</v>
      </c>
      <c r="C863" s="9" t="s">
        <v>49</v>
      </c>
      <c r="D863" s="9" t="s">
        <v>106</v>
      </c>
      <c r="E863" s="10">
        <v>2019</v>
      </c>
      <c r="F863" s="10">
        <v>2020</v>
      </c>
      <c r="G863" s="9" t="s">
        <v>45</v>
      </c>
      <c r="H863" s="11">
        <v>35.299999999999997</v>
      </c>
      <c r="I863" s="11">
        <v>35.299999999999997</v>
      </c>
      <c r="J863" s="9" t="s">
        <v>89</v>
      </c>
      <c r="K863" s="9" t="s">
        <v>44</v>
      </c>
    </row>
    <row r="864" spans="1:11" x14ac:dyDescent="0.25">
      <c r="A864" s="8" t="s">
        <v>58</v>
      </c>
      <c r="B864" s="9" t="s">
        <v>59</v>
      </c>
      <c r="C864" s="9" t="s">
        <v>49</v>
      </c>
      <c r="D864" s="9" t="s">
        <v>106</v>
      </c>
      <c r="E864" s="10">
        <v>2019</v>
      </c>
      <c r="F864" s="10">
        <v>2020</v>
      </c>
      <c r="G864" s="9" t="s">
        <v>46</v>
      </c>
      <c r="H864" s="11">
        <v>51523.97</v>
      </c>
      <c r="I864" s="11">
        <v>51523.97</v>
      </c>
      <c r="J864" s="9" t="s">
        <v>89</v>
      </c>
      <c r="K864" s="9" t="s">
        <v>44</v>
      </c>
    </row>
    <row r="865" spans="1:11" x14ac:dyDescent="0.25">
      <c r="A865" s="8" t="s">
        <v>58</v>
      </c>
      <c r="B865" s="9" t="s">
        <v>59</v>
      </c>
      <c r="C865" s="9" t="s">
        <v>49</v>
      </c>
      <c r="D865" s="9" t="s">
        <v>106</v>
      </c>
      <c r="E865" s="10">
        <v>2019</v>
      </c>
      <c r="F865" s="10">
        <v>2020</v>
      </c>
      <c r="G865" s="9" t="s">
        <v>50</v>
      </c>
      <c r="H865" s="11">
        <v>10.62</v>
      </c>
      <c r="I865" s="11">
        <v>10.62</v>
      </c>
      <c r="J865" s="9" t="s">
        <v>89</v>
      </c>
      <c r="K865" s="9" t="s">
        <v>44</v>
      </c>
    </row>
    <row r="866" spans="1:11" x14ac:dyDescent="0.25">
      <c r="A866" s="8" t="s">
        <v>60</v>
      </c>
      <c r="B866" s="9" t="s">
        <v>61</v>
      </c>
      <c r="C866" s="9" t="s">
        <v>40</v>
      </c>
      <c r="D866" s="9" t="s">
        <v>106</v>
      </c>
      <c r="E866" s="10">
        <v>2019</v>
      </c>
      <c r="F866" s="10">
        <v>2020</v>
      </c>
      <c r="G866" s="9" t="s">
        <v>42</v>
      </c>
      <c r="H866" s="11">
        <v>139681.66</v>
      </c>
      <c r="I866" s="11">
        <v>139681.66</v>
      </c>
      <c r="J866" s="9" t="s">
        <v>89</v>
      </c>
      <c r="K866" s="9" t="s">
        <v>44</v>
      </c>
    </row>
    <row r="867" spans="1:11" x14ac:dyDescent="0.25">
      <c r="A867" s="8" t="s">
        <v>60</v>
      </c>
      <c r="B867" s="9" t="s">
        <v>61</v>
      </c>
      <c r="C867" s="9" t="s">
        <v>40</v>
      </c>
      <c r="D867" s="9" t="s">
        <v>106</v>
      </c>
      <c r="E867" s="10">
        <v>2019</v>
      </c>
      <c r="F867" s="10">
        <v>2020</v>
      </c>
      <c r="G867" s="9" t="s">
        <v>45</v>
      </c>
      <c r="H867" s="11">
        <v>449.74</v>
      </c>
      <c r="I867" s="11">
        <v>449.74</v>
      </c>
      <c r="J867" s="9" t="s">
        <v>89</v>
      </c>
      <c r="K867" s="9" t="s">
        <v>44</v>
      </c>
    </row>
    <row r="868" spans="1:11" x14ac:dyDescent="0.25">
      <c r="A868" s="8" t="s">
        <v>60</v>
      </c>
      <c r="B868" s="9" t="s">
        <v>61</v>
      </c>
      <c r="C868" s="9" t="s">
        <v>40</v>
      </c>
      <c r="D868" s="9" t="s">
        <v>106</v>
      </c>
      <c r="E868" s="10">
        <v>2019</v>
      </c>
      <c r="F868" s="10">
        <v>2020</v>
      </c>
      <c r="G868" s="9" t="s">
        <v>46</v>
      </c>
      <c r="H868" s="11">
        <v>54755.1</v>
      </c>
      <c r="I868" s="11">
        <v>54755.1</v>
      </c>
      <c r="J868" s="9" t="s">
        <v>89</v>
      </c>
      <c r="K868" s="9" t="s">
        <v>44</v>
      </c>
    </row>
    <row r="869" spans="1:11" x14ac:dyDescent="0.25">
      <c r="A869" s="8" t="s">
        <v>60</v>
      </c>
      <c r="B869" s="9" t="s">
        <v>61</v>
      </c>
      <c r="C869" s="9" t="s">
        <v>40</v>
      </c>
      <c r="D869" s="9" t="s">
        <v>106</v>
      </c>
      <c r="E869" s="10">
        <v>2019</v>
      </c>
      <c r="F869" s="10">
        <v>2020</v>
      </c>
      <c r="G869" s="9" t="s">
        <v>50</v>
      </c>
      <c r="H869" s="11">
        <v>35.299999999999997</v>
      </c>
      <c r="I869" s="11">
        <v>35.299999999999997</v>
      </c>
      <c r="J869" s="9" t="s">
        <v>89</v>
      </c>
      <c r="K869" s="9" t="s">
        <v>44</v>
      </c>
    </row>
    <row r="870" spans="1:11" x14ac:dyDescent="0.25">
      <c r="A870" s="8" t="s">
        <v>62</v>
      </c>
      <c r="B870" s="9" t="s">
        <v>63</v>
      </c>
      <c r="C870" s="9" t="s">
        <v>40</v>
      </c>
      <c r="D870" s="9" t="s">
        <v>106</v>
      </c>
      <c r="E870" s="10">
        <v>2019</v>
      </c>
      <c r="F870" s="10">
        <v>2020</v>
      </c>
      <c r="G870" s="9" t="s">
        <v>42</v>
      </c>
      <c r="H870" s="11">
        <v>91701.57</v>
      </c>
      <c r="I870" s="11">
        <v>91701.57</v>
      </c>
      <c r="J870" s="9" t="s">
        <v>89</v>
      </c>
      <c r="K870" s="9" t="s">
        <v>44</v>
      </c>
    </row>
    <row r="871" spans="1:11" x14ac:dyDescent="0.25">
      <c r="A871" s="8" t="s">
        <v>62</v>
      </c>
      <c r="B871" s="9" t="s">
        <v>63</v>
      </c>
      <c r="C871" s="9" t="s">
        <v>40</v>
      </c>
      <c r="D871" s="9" t="s">
        <v>106</v>
      </c>
      <c r="E871" s="10">
        <v>2019</v>
      </c>
      <c r="F871" s="10">
        <v>2020</v>
      </c>
      <c r="G871" s="9" t="s">
        <v>45</v>
      </c>
      <c r="H871" s="11">
        <v>96.61</v>
      </c>
      <c r="I871" s="11">
        <v>96.61</v>
      </c>
      <c r="J871" s="9" t="s">
        <v>89</v>
      </c>
      <c r="K871" s="9" t="s">
        <v>44</v>
      </c>
    </row>
    <row r="872" spans="1:11" x14ac:dyDescent="0.25">
      <c r="A872" s="8" t="s">
        <v>62</v>
      </c>
      <c r="B872" s="9" t="s">
        <v>63</v>
      </c>
      <c r="C872" s="9" t="s">
        <v>40</v>
      </c>
      <c r="D872" s="9" t="s">
        <v>106</v>
      </c>
      <c r="E872" s="10">
        <v>2019</v>
      </c>
      <c r="F872" s="10">
        <v>2020</v>
      </c>
      <c r="G872" s="9" t="s">
        <v>46</v>
      </c>
      <c r="H872" s="11">
        <v>46369.51</v>
      </c>
      <c r="I872" s="11">
        <v>46369.51</v>
      </c>
      <c r="J872" s="9" t="s">
        <v>89</v>
      </c>
      <c r="K872" s="9" t="s">
        <v>44</v>
      </c>
    </row>
    <row r="873" spans="1:11" x14ac:dyDescent="0.25">
      <c r="A873" s="8" t="s">
        <v>62</v>
      </c>
      <c r="B873" s="9" t="s">
        <v>63</v>
      </c>
      <c r="C873" s="9" t="s">
        <v>40</v>
      </c>
      <c r="D873" s="9" t="s">
        <v>106</v>
      </c>
      <c r="E873" s="10">
        <v>2019</v>
      </c>
      <c r="F873" s="10">
        <v>2020</v>
      </c>
      <c r="G873" s="9" t="s">
        <v>50</v>
      </c>
      <c r="H873" s="11">
        <v>57.76</v>
      </c>
      <c r="I873" s="11">
        <v>57.76</v>
      </c>
      <c r="J873" s="9" t="s">
        <v>89</v>
      </c>
      <c r="K873" s="9" t="s">
        <v>44</v>
      </c>
    </row>
    <row r="874" spans="1:11" x14ac:dyDescent="0.25">
      <c r="A874" s="8" t="s">
        <v>65</v>
      </c>
      <c r="B874" s="9" t="s">
        <v>66</v>
      </c>
      <c r="C874" s="9" t="s">
        <v>40</v>
      </c>
      <c r="D874" s="9" t="s">
        <v>106</v>
      </c>
      <c r="E874" s="10">
        <v>2019</v>
      </c>
      <c r="F874" s="10">
        <v>2020</v>
      </c>
      <c r="G874" s="9" t="s">
        <v>42</v>
      </c>
      <c r="H874" s="11">
        <v>1514.35</v>
      </c>
      <c r="I874" s="11">
        <v>1514.35</v>
      </c>
      <c r="J874" s="9" t="s">
        <v>89</v>
      </c>
      <c r="K874" s="9" t="s">
        <v>44</v>
      </c>
    </row>
    <row r="875" spans="1:11" x14ac:dyDescent="0.25">
      <c r="A875" s="8" t="s">
        <v>65</v>
      </c>
      <c r="B875" s="9" t="s">
        <v>66</v>
      </c>
      <c r="C875" s="9" t="s">
        <v>40</v>
      </c>
      <c r="D875" s="9" t="s">
        <v>106</v>
      </c>
      <c r="E875" s="10">
        <v>2019</v>
      </c>
      <c r="F875" s="10">
        <v>2020</v>
      </c>
      <c r="G875" s="9" t="s">
        <v>46</v>
      </c>
      <c r="H875" s="11">
        <v>7817.91</v>
      </c>
      <c r="I875" s="11">
        <v>7817.91</v>
      </c>
      <c r="J875" s="9" t="s">
        <v>89</v>
      </c>
      <c r="K875" s="9" t="s">
        <v>44</v>
      </c>
    </row>
    <row r="876" spans="1:11" x14ac:dyDescent="0.25">
      <c r="A876" s="8" t="s">
        <v>67</v>
      </c>
      <c r="B876" s="9" t="s">
        <v>68</v>
      </c>
      <c r="C876" s="9" t="s">
        <v>69</v>
      </c>
      <c r="D876" s="9" t="s">
        <v>106</v>
      </c>
      <c r="E876" s="10">
        <v>2019</v>
      </c>
      <c r="F876" s="10">
        <v>2020</v>
      </c>
      <c r="G876" s="9" t="s">
        <v>42</v>
      </c>
      <c r="H876" s="11">
        <v>97482.38</v>
      </c>
      <c r="I876" s="11">
        <v>97482.38</v>
      </c>
      <c r="J876" s="9" t="s">
        <v>89</v>
      </c>
      <c r="K876" s="9" t="s">
        <v>44</v>
      </c>
    </row>
    <row r="877" spans="1:11" x14ac:dyDescent="0.25">
      <c r="A877" s="8" t="s">
        <v>67</v>
      </c>
      <c r="B877" s="9" t="s">
        <v>68</v>
      </c>
      <c r="C877" s="9" t="s">
        <v>69</v>
      </c>
      <c r="D877" s="9" t="s">
        <v>106</v>
      </c>
      <c r="E877" s="10">
        <v>2019</v>
      </c>
      <c r="F877" s="10">
        <v>2020</v>
      </c>
      <c r="G877" s="9" t="s">
        <v>45</v>
      </c>
      <c r="H877" s="11">
        <v>99.97</v>
      </c>
      <c r="I877" s="11">
        <v>99.97</v>
      </c>
      <c r="J877" s="9" t="s">
        <v>89</v>
      </c>
      <c r="K877" s="9" t="s">
        <v>44</v>
      </c>
    </row>
    <row r="878" spans="1:11" x14ac:dyDescent="0.25">
      <c r="A878" s="8" t="s">
        <v>67</v>
      </c>
      <c r="B878" s="9" t="s">
        <v>68</v>
      </c>
      <c r="C878" s="9" t="s">
        <v>69</v>
      </c>
      <c r="D878" s="9" t="s">
        <v>106</v>
      </c>
      <c r="E878" s="10">
        <v>2019</v>
      </c>
      <c r="F878" s="10">
        <v>2020</v>
      </c>
      <c r="G878" s="9" t="s">
        <v>46</v>
      </c>
      <c r="H878" s="11">
        <v>25488.79</v>
      </c>
      <c r="I878" s="11">
        <v>25488.79</v>
      </c>
      <c r="J878" s="9" t="s">
        <v>89</v>
      </c>
      <c r="K878" s="9" t="s">
        <v>44</v>
      </c>
    </row>
    <row r="879" spans="1:11" x14ac:dyDescent="0.25">
      <c r="A879" s="8" t="s">
        <v>67</v>
      </c>
      <c r="B879" s="9" t="s">
        <v>68</v>
      </c>
      <c r="C879" s="9" t="s">
        <v>69</v>
      </c>
      <c r="D879" s="9" t="s">
        <v>106</v>
      </c>
      <c r="E879" s="10">
        <v>2019</v>
      </c>
      <c r="F879" s="10">
        <v>2020</v>
      </c>
      <c r="G879" s="9" t="s">
        <v>50</v>
      </c>
      <c r="H879" s="11">
        <v>1822.48</v>
      </c>
      <c r="I879" s="11">
        <v>1822.48</v>
      </c>
      <c r="J879" s="9" t="s">
        <v>89</v>
      </c>
      <c r="K879" s="9" t="s">
        <v>44</v>
      </c>
    </row>
    <row r="880" spans="1:11" x14ac:dyDescent="0.25">
      <c r="A880" s="8" t="s">
        <v>70</v>
      </c>
      <c r="B880" s="9" t="s">
        <v>71</v>
      </c>
      <c r="C880" s="9" t="s">
        <v>49</v>
      </c>
      <c r="D880" s="9" t="s">
        <v>106</v>
      </c>
      <c r="E880" s="10">
        <v>2019</v>
      </c>
      <c r="F880" s="10">
        <v>2020</v>
      </c>
      <c r="G880" s="9" t="s">
        <v>42</v>
      </c>
      <c r="H880" s="11">
        <v>65934.7</v>
      </c>
      <c r="I880" s="11">
        <v>65934.7</v>
      </c>
      <c r="J880" s="9" t="s">
        <v>89</v>
      </c>
      <c r="K880" s="9" t="s">
        <v>44</v>
      </c>
    </row>
    <row r="881" spans="1:11" x14ac:dyDescent="0.25">
      <c r="A881" s="8" t="s">
        <v>70</v>
      </c>
      <c r="B881" s="9" t="s">
        <v>71</v>
      </c>
      <c r="C881" s="9" t="s">
        <v>49</v>
      </c>
      <c r="D881" s="9" t="s">
        <v>106</v>
      </c>
      <c r="E881" s="10">
        <v>2019</v>
      </c>
      <c r="F881" s="10">
        <v>2020</v>
      </c>
      <c r="G881" s="9" t="s">
        <v>45</v>
      </c>
      <c r="H881" s="11">
        <v>225.55</v>
      </c>
      <c r="I881" s="11">
        <v>225.55</v>
      </c>
      <c r="J881" s="9" t="s">
        <v>89</v>
      </c>
      <c r="K881" s="9" t="s">
        <v>44</v>
      </c>
    </row>
    <row r="882" spans="1:11" x14ac:dyDescent="0.25">
      <c r="A882" s="8" t="s">
        <v>70</v>
      </c>
      <c r="B882" s="9" t="s">
        <v>71</v>
      </c>
      <c r="C882" s="9" t="s">
        <v>49</v>
      </c>
      <c r="D882" s="9" t="s">
        <v>106</v>
      </c>
      <c r="E882" s="10">
        <v>2019</v>
      </c>
      <c r="F882" s="10">
        <v>2020</v>
      </c>
      <c r="G882" s="9" t="s">
        <v>46</v>
      </c>
      <c r="H882" s="11">
        <v>39567.08</v>
      </c>
      <c r="I882" s="11">
        <v>39567.08</v>
      </c>
      <c r="J882" s="9" t="s">
        <v>89</v>
      </c>
      <c r="K882" s="9" t="s">
        <v>44</v>
      </c>
    </row>
    <row r="883" spans="1:11" x14ac:dyDescent="0.25">
      <c r="A883" s="8" t="s">
        <v>70</v>
      </c>
      <c r="B883" s="9" t="s">
        <v>71</v>
      </c>
      <c r="C883" s="9" t="s">
        <v>49</v>
      </c>
      <c r="D883" s="9" t="s">
        <v>106</v>
      </c>
      <c r="E883" s="10">
        <v>2019</v>
      </c>
      <c r="F883" s="10">
        <v>2020</v>
      </c>
      <c r="G883" s="9" t="s">
        <v>50</v>
      </c>
      <c r="H883" s="11">
        <v>162.28</v>
      </c>
      <c r="I883" s="11">
        <v>162.28</v>
      </c>
      <c r="J883" s="9" t="s">
        <v>89</v>
      </c>
      <c r="K883" s="9" t="s">
        <v>44</v>
      </c>
    </row>
    <row r="884" spans="1:11" x14ac:dyDescent="0.25">
      <c r="A884" s="8" t="s">
        <v>72</v>
      </c>
      <c r="B884" s="9" t="s">
        <v>73</v>
      </c>
      <c r="C884" s="9" t="s">
        <v>53</v>
      </c>
      <c r="D884" s="9" t="s">
        <v>106</v>
      </c>
      <c r="E884" s="10">
        <v>2019</v>
      </c>
      <c r="F884" s="10">
        <v>2020</v>
      </c>
      <c r="G884" s="9" t="s">
        <v>42</v>
      </c>
      <c r="H884" s="11">
        <v>17262.009999999998</v>
      </c>
      <c r="I884" s="11">
        <v>17262.009999999998</v>
      </c>
      <c r="J884" s="9" t="s">
        <v>89</v>
      </c>
      <c r="K884" s="9" t="s">
        <v>44</v>
      </c>
    </row>
    <row r="885" spans="1:11" x14ac:dyDescent="0.25">
      <c r="A885" s="8" t="s">
        <v>72</v>
      </c>
      <c r="B885" s="9" t="s">
        <v>73</v>
      </c>
      <c r="C885" s="9" t="s">
        <v>53</v>
      </c>
      <c r="D885" s="9" t="s">
        <v>106</v>
      </c>
      <c r="E885" s="10">
        <v>2019</v>
      </c>
      <c r="F885" s="10">
        <v>2020</v>
      </c>
      <c r="G885" s="9" t="s">
        <v>45</v>
      </c>
      <c r="H885" s="11">
        <v>32.090000000000003</v>
      </c>
      <c r="I885" s="11">
        <v>32.090000000000003</v>
      </c>
      <c r="J885" s="9" t="s">
        <v>89</v>
      </c>
      <c r="K885" s="9" t="s">
        <v>44</v>
      </c>
    </row>
    <row r="886" spans="1:11" x14ac:dyDescent="0.25">
      <c r="A886" s="8" t="s">
        <v>72</v>
      </c>
      <c r="B886" s="9" t="s">
        <v>73</v>
      </c>
      <c r="C886" s="9" t="s">
        <v>53</v>
      </c>
      <c r="D886" s="9" t="s">
        <v>106</v>
      </c>
      <c r="E886" s="10">
        <v>2019</v>
      </c>
      <c r="F886" s="10">
        <v>2020</v>
      </c>
      <c r="G886" s="9" t="s">
        <v>46</v>
      </c>
      <c r="H886" s="11">
        <v>107712.91</v>
      </c>
      <c r="I886" s="11">
        <v>107712.91</v>
      </c>
      <c r="J886" s="9" t="s">
        <v>89</v>
      </c>
      <c r="K886" s="9" t="s">
        <v>44</v>
      </c>
    </row>
    <row r="887" spans="1:11" x14ac:dyDescent="0.25">
      <c r="A887" s="8" t="s">
        <v>72</v>
      </c>
      <c r="B887" s="9" t="s">
        <v>73</v>
      </c>
      <c r="C887" s="9" t="s">
        <v>53</v>
      </c>
      <c r="D887" s="9" t="s">
        <v>106</v>
      </c>
      <c r="E887" s="10">
        <v>2019</v>
      </c>
      <c r="F887" s="10">
        <v>2020</v>
      </c>
      <c r="G887" s="9" t="s">
        <v>50</v>
      </c>
      <c r="H887" s="11">
        <v>6.45</v>
      </c>
      <c r="I887" s="11">
        <v>6.45</v>
      </c>
      <c r="J887" s="9" t="s">
        <v>89</v>
      </c>
      <c r="K887" s="9" t="s">
        <v>44</v>
      </c>
    </row>
    <row r="888" spans="1:11" x14ac:dyDescent="0.25">
      <c r="A888" s="8" t="s">
        <v>74</v>
      </c>
      <c r="B888" s="9" t="s">
        <v>75</v>
      </c>
      <c r="C888" s="9" t="s">
        <v>40</v>
      </c>
      <c r="D888" s="9" t="s">
        <v>106</v>
      </c>
      <c r="E888" s="10">
        <v>2019</v>
      </c>
      <c r="F888" s="10">
        <v>2020</v>
      </c>
      <c r="G888" s="9" t="s">
        <v>42</v>
      </c>
      <c r="H888" s="11">
        <v>13909.81</v>
      </c>
      <c r="I888" s="11">
        <v>13909.81</v>
      </c>
      <c r="J888" s="9" t="s">
        <v>89</v>
      </c>
      <c r="K888" s="9" t="s">
        <v>44</v>
      </c>
    </row>
    <row r="889" spans="1:11" x14ac:dyDescent="0.25">
      <c r="A889" s="8" t="s">
        <v>74</v>
      </c>
      <c r="B889" s="9" t="s">
        <v>75</v>
      </c>
      <c r="C889" s="9" t="s">
        <v>40</v>
      </c>
      <c r="D889" s="9" t="s">
        <v>106</v>
      </c>
      <c r="E889" s="10">
        <v>2019</v>
      </c>
      <c r="F889" s="10">
        <v>2020</v>
      </c>
      <c r="G889" s="9" t="s">
        <v>45</v>
      </c>
      <c r="H889" s="11">
        <v>39.090000000000003</v>
      </c>
      <c r="I889" s="11">
        <v>39.090000000000003</v>
      </c>
      <c r="J889" s="9" t="s">
        <v>89</v>
      </c>
      <c r="K889" s="9" t="s">
        <v>44</v>
      </c>
    </row>
    <row r="890" spans="1:11" x14ac:dyDescent="0.25">
      <c r="A890" s="8" t="s">
        <v>74</v>
      </c>
      <c r="B890" s="9" t="s">
        <v>75</v>
      </c>
      <c r="C890" s="9" t="s">
        <v>40</v>
      </c>
      <c r="D890" s="9" t="s">
        <v>106</v>
      </c>
      <c r="E890" s="10">
        <v>2019</v>
      </c>
      <c r="F890" s="10">
        <v>2020</v>
      </c>
      <c r="G890" s="9" t="s">
        <v>46</v>
      </c>
      <c r="H890" s="11">
        <v>29406.9</v>
      </c>
      <c r="I890" s="11">
        <v>29406.9</v>
      </c>
      <c r="J890" s="9" t="s">
        <v>89</v>
      </c>
      <c r="K890" s="9" t="s">
        <v>44</v>
      </c>
    </row>
    <row r="891" spans="1:11" x14ac:dyDescent="0.25">
      <c r="A891" s="8" t="s">
        <v>76</v>
      </c>
      <c r="B891" s="9" t="s">
        <v>77</v>
      </c>
      <c r="C891" s="9" t="s">
        <v>53</v>
      </c>
      <c r="D891" s="9" t="s">
        <v>106</v>
      </c>
      <c r="E891" s="10">
        <v>2019</v>
      </c>
      <c r="F891" s="10">
        <v>2020</v>
      </c>
      <c r="G891" s="9" t="s">
        <v>42</v>
      </c>
      <c r="H891" s="11">
        <v>572.80999999999995</v>
      </c>
      <c r="I891" s="11">
        <v>572.80999999999995</v>
      </c>
      <c r="J891" s="9" t="s">
        <v>89</v>
      </c>
      <c r="K891" s="9" t="s">
        <v>44</v>
      </c>
    </row>
    <row r="892" spans="1:11" x14ac:dyDescent="0.25">
      <c r="A892" s="8" t="s">
        <v>76</v>
      </c>
      <c r="B892" s="9" t="s">
        <v>77</v>
      </c>
      <c r="C892" s="9" t="s">
        <v>53</v>
      </c>
      <c r="D892" s="9" t="s">
        <v>106</v>
      </c>
      <c r="E892" s="10">
        <v>2019</v>
      </c>
      <c r="F892" s="10">
        <v>2020</v>
      </c>
      <c r="G892" s="9" t="s">
        <v>45</v>
      </c>
      <c r="H892" s="11">
        <v>5.67</v>
      </c>
      <c r="I892" s="11">
        <v>5.67</v>
      </c>
      <c r="J892" s="9" t="s">
        <v>89</v>
      </c>
      <c r="K892" s="9" t="s">
        <v>44</v>
      </c>
    </row>
    <row r="893" spans="1:11" x14ac:dyDescent="0.25">
      <c r="A893" s="8" t="s">
        <v>76</v>
      </c>
      <c r="B893" s="9" t="s">
        <v>77</v>
      </c>
      <c r="C893" s="9" t="s">
        <v>53</v>
      </c>
      <c r="D893" s="9" t="s">
        <v>106</v>
      </c>
      <c r="E893" s="10">
        <v>2019</v>
      </c>
      <c r="F893" s="10">
        <v>2020</v>
      </c>
      <c r="G893" s="9" t="s">
        <v>46</v>
      </c>
      <c r="H893" s="11">
        <v>24465.71</v>
      </c>
      <c r="I893" s="11">
        <v>24465.71</v>
      </c>
      <c r="J893" s="9" t="s">
        <v>89</v>
      </c>
      <c r="K893" s="9" t="s">
        <v>44</v>
      </c>
    </row>
    <row r="894" spans="1:11" x14ac:dyDescent="0.25">
      <c r="A894" s="8" t="s">
        <v>76</v>
      </c>
      <c r="B894" s="9" t="s">
        <v>77</v>
      </c>
      <c r="C894" s="9" t="s">
        <v>53</v>
      </c>
      <c r="D894" s="9" t="s">
        <v>106</v>
      </c>
      <c r="E894" s="10">
        <v>2019</v>
      </c>
      <c r="F894" s="10">
        <v>2020</v>
      </c>
      <c r="G894" s="9" t="s">
        <v>50</v>
      </c>
      <c r="H894" s="11">
        <v>39.130000000000003</v>
      </c>
      <c r="I894" s="11">
        <v>39.130000000000003</v>
      </c>
      <c r="J894" s="9" t="s">
        <v>89</v>
      </c>
      <c r="K894" s="9" t="s">
        <v>44</v>
      </c>
    </row>
    <row r="895" spans="1:11" x14ac:dyDescent="0.25">
      <c r="A895" s="8" t="s">
        <v>78</v>
      </c>
      <c r="B895" s="9" t="s">
        <v>79</v>
      </c>
      <c r="C895" s="9" t="s">
        <v>53</v>
      </c>
      <c r="D895" s="9" t="s">
        <v>106</v>
      </c>
      <c r="E895" s="10">
        <v>2019</v>
      </c>
      <c r="F895" s="10">
        <v>2020</v>
      </c>
      <c r="G895" s="9" t="s">
        <v>42</v>
      </c>
      <c r="H895" s="11">
        <v>2362.36</v>
      </c>
      <c r="I895" s="11">
        <v>2362.36</v>
      </c>
      <c r="J895" s="9" t="s">
        <v>89</v>
      </c>
      <c r="K895" s="9" t="s">
        <v>44</v>
      </c>
    </row>
    <row r="896" spans="1:11" x14ac:dyDescent="0.25">
      <c r="A896" s="8" t="s">
        <v>78</v>
      </c>
      <c r="B896" s="9" t="s">
        <v>79</v>
      </c>
      <c r="C896" s="9" t="s">
        <v>53</v>
      </c>
      <c r="D896" s="9" t="s">
        <v>106</v>
      </c>
      <c r="E896" s="10">
        <v>2019</v>
      </c>
      <c r="F896" s="10">
        <v>2020</v>
      </c>
      <c r="G896" s="9" t="s">
        <v>45</v>
      </c>
      <c r="H896" s="11">
        <v>20.62</v>
      </c>
      <c r="I896" s="11">
        <v>20.62</v>
      </c>
      <c r="J896" s="9" t="s">
        <v>89</v>
      </c>
      <c r="K896" s="9" t="s">
        <v>44</v>
      </c>
    </row>
    <row r="897" spans="1:11" x14ac:dyDescent="0.25">
      <c r="A897" s="8" t="s">
        <v>78</v>
      </c>
      <c r="B897" s="9" t="s">
        <v>79</v>
      </c>
      <c r="C897" s="9" t="s">
        <v>53</v>
      </c>
      <c r="D897" s="9" t="s">
        <v>106</v>
      </c>
      <c r="E897" s="10">
        <v>2019</v>
      </c>
      <c r="F897" s="10">
        <v>2020</v>
      </c>
      <c r="G897" s="9" t="s">
        <v>46</v>
      </c>
      <c r="H897" s="11">
        <v>54112.75</v>
      </c>
      <c r="I897" s="11">
        <v>54112.75</v>
      </c>
      <c r="J897" s="9" t="s">
        <v>89</v>
      </c>
      <c r="K897" s="9" t="s">
        <v>44</v>
      </c>
    </row>
    <row r="898" spans="1:11" x14ac:dyDescent="0.25">
      <c r="A898" s="8" t="s">
        <v>78</v>
      </c>
      <c r="B898" s="9" t="s">
        <v>79</v>
      </c>
      <c r="C898" s="9" t="s">
        <v>53</v>
      </c>
      <c r="D898" s="9" t="s">
        <v>106</v>
      </c>
      <c r="E898" s="10">
        <v>2019</v>
      </c>
      <c r="F898" s="10">
        <v>2020</v>
      </c>
      <c r="G898" s="9" t="s">
        <v>50</v>
      </c>
      <c r="H898" s="11">
        <v>19.670000000000002</v>
      </c>
      <c r="I898" s="11">
        <v>19.670000000000002</v>
      </c>
      <c r="J898" s="9" t="s">
        <v>89</v>
      </c>
      <c r="K898" s="9" t="s">
        <v>44</v>
      </c>
    </row>
    <row r="899" spans="1:11" x14ac:dyDescent="0.25">
      <c r="A899" s="8" t="s">
        <v>80</v>
      </c>
      <c r="B899" s="9" t="s">
        <v>81</v>
      </c>
      <c r="C899" s="9" t="s">
        <v>49</v>
      </c>
      <c r="D899" s="9" t="s">
        <v>106</v>
      </c>
      <c r="E899" s="10">
        <v>2019</v>
      </c>
      <c r="F899" s="10">
        <v>2020</v>
      </c>
      <c r="G899" s="9" t="s">
        <v>42</v>
      </c>
      <c r="H899" s="11">
        <v>57995.41</v>
      </c>
      <c r="I899" s="11">
        <v>57995.41</v>
      </c>
      <c r="J899" s="9" t="s">
        <v>89</v>
      </c>
      <c r="K899" s="9" t="s">
        <v>44</v>
      </c>
    </row>
    <row r="900" spans="1:11" x14ac:dyDescent="0.25">
      <c r="A900" s="8" t="s">
        <v>80</v>
      </c>
      <c r="B900" s="9" t="s">
        <v>81</v>
      </c>
      <c r="C900" s="9" t="s">
        <v>49</v>
      </c>
      <c r="D900" s="9" t="s">
        <v>106</v>
      </c>
      <c r="E900" s="10">
        <v>2019</v>
      </c>
      <c r="F900" s="10">
        <v>2020</v>
      </c>
      <c r="G900" s="9" t="s">
        <v>45</v>
      </c>
      <c r="H900" s="11">
        <v>243.25</v>
      </c>
      <c r="I900" s="11">
        <v>243.25</v>
      </c>
      <c r="J900" s="9" t="s">
        <v>89</v>
      </c>
      <c r="K900" s="9" t="s">
        <v>44</v>
      </c>
    </row>
    <row r="901" spans="1:11" x14ac:dyDescent="0.25">
      <c r="A901" s="8" t="s">
        <v>80</v>
      </c>
      <c r="B901" s="9" t="s">
        <v>81</v>
      </c>
      <c r="C901" s="9" t="s">
        <v>49</v>
      </c>
      <c r="D901" s="9" t="s">
        <v>106</v>
      </c>
      <c r="E901" s="10">
        <v>2019</v>
      </c>
      <c r="F901" s="10">
        <v>2020</v>
      </c>
      <c r="G901" s="9" t="s">
        <v>46</v>
      </c>
      <c r="H901" s="11">
        <v>230404.65</v>
      </c>
      <c r="I901" s="11">
        <v>230404.65</v>
      </c>
      <c r="J901" s="9" t="s">
        <v>89</v>
      </c>
      <c r="K901" s="9" t="s">
        <v>44</v>
      </c>
    </row>
    <row r="902" spans="1:11" x14ac:dyDescent="0.25">
      <c r="A902" s="8" t="s">
        <v>80</v>
      </c>
      <c r="B902" s="9" t="s">
        <v>81</v>
      </c>
      <c r="C902" s="9" t="s">
        <v>49</v>
      </c>
      <c r="D902" s="9" t="s">
        <v>106</v>
      </c>
      <c r="E902" s="10">
        <v>2019</v>
      </c>
      <c r="F902" s="10">
        <v>2020</v>
      </c>
      <c r="G902" s="9" t="s">
        <v>50</v>
      </c>
      <c r="H902" s="11">
        <v>9.11</v>
      </c>
      <c r="I902" s="11">
        <v>9.11</v>
      </c>
      <c r="J902" s="9" t="s">
        <v>89</v>
      </c>
      <c r="K902" s="9" t="s">
        <v>44</v>
      </c>
    </row>
    <row r="903" spans="1:11" x14ac:dyDescent="0.25">
      <c r="A903" s="8" t="s">
        <v>82</v>
      </c>
      <c r="B903" s="9" t="s">
        <v>83</v>
      </c>
      <c r="C903" s="9" t="s">
        <v>40</v>
      </c>
      <c r="D903" s="9" t="s">
        <v>106</v>
      </c>
      <c r="E903" s="10">
        <v>2019</v>
      </c>
      <c r="F903" s="10">
        <v>2020</v>
      </c>
      <c r="G903" s="9" t="s">
        <v>42</v>
      </c>
      <c r="H903" s="11">
        <v>4343.82</v>
      </c>
      <c r="I903" s="11">
        <v>4343.82</v>
      </c>
      <c r="J903" s="9" t="s">
        <v>89</v>
      </c>
      <c r="K903" s="9" t="s">
        <v>44</v>
      </c>
    </row>
    <row r="904" spans="1:11" x14ac:dyDescent="0.25">
      <c r="A904" s="8" t="s">
        <v>82</v>
      </c>
      <c r="B904" s="9" t="s">
        <v>83</v>
      </c>
      <c r="C904" s="9" t="s">
        <v>40</v>
      </c>
      <c r="D904" s="9" t="s">
        <v>106</v>
      </c>
      <c r="E904" s="10">
        <v>2019</v>
      </c>
      <c r="F904" s="10">
        <v>2020</v>
      </c>
      <c r="G904" s="9" t="s">
        <v>45</v>
      </c>
      <c r="H904" s="11">
        <v>13.8</v>
      </c>
      <c r="I904" s="11">
        <v>13.8</v>
      </c>
      <c r="J904" s="9" t="s">
        <v>89</v>
      </c>
      <c r="K904" s="9" t="s">
        <v>44</v>
      </c>
    </row>
    <row r="905" spans="1:11" x14ac:dyDescent="0.25">
      <c r="A905" s="8" t="s">
        <v>82</v>
      </c>
      <c r="B905" s="9" t="s">
        <v>83</v>
      </c>
      <c r="C905" s="9" t="s">
        <v>40</v>
      </c>
      <c r="D905" s="9" t="s">
        <v>106</v>
      </c>
      <c r="E905" s="10">
        <v>2019</v>
      </c>
      <c r="F905" s="10">
        <v>2020</v>
      </c>
      <c r="G905" s="9" t="s">
        <v>46</v>
      </c>
      <c r="H905" s="11">
        <v>22206.9</v>
      </c>
      <c r="I905" s="11">
        <v>22206.9</v>
      </c>
      <c r="J905" s="9" t="s">
        <v>89</v>
      </c>
      <c r="K905" s="9" t="s">
        <v>44</v>
      </c>
    </row>
    <row r="906" spans="1:11" x14ac:dyDescent="0.25">
      <c r="A906" s="8" t="s">
        <v>84</v>
      </c>
      <c r="B906" s="9" t="s">
        <v>85</v>
      </c>
      <c r="C906" s="9" t="s">
        <v>85</v>
      </c>
      <c r="D906" s="9" t="s">
        <v>106</v>
      </c>
      <c r="E906" s="10">
        <v>2019</v>
      </c>
      <c r="F906" s="10">
        <v>2020</v>
      </c>
      <c r="G906" s="9" t="s">
        <v>42</v>
      </c>
      <c r="H906" s="11">
        <v>172210.75</v>
      </c>
      <c r="I906" s="11">
        <v>172210.75</v>
      </c>
      <c r="J906" s="9" t="s">
        <v>89</v>
      </c>
      <c r="K906" s="9" t="s">
        <v>44</v>
      </c>
    </row>
    <row r="907" spans="1:11" x14ac:dyDescent="0.25">
      <c r="A907" s="8" t="s">
        <v>84</v>
      </c>
      <c r="B907" s="9" t="s">
        <v>85</v>
      </c>
      <c r="C907" s="9" t="s">
        <v>85</v>
      </c>
      <c r="D907" s="9" t="s">
        <v>106</v>
      </c>
      <c r="E907" s="10">
        <v>2019</v>
      </c>
      <c r="F907" s="10">
        <v>2020</v>
      </c>
      <c r="G907" s="9" t="s">
        <v>45</v>
      </c>
      <c r="H907" s="11">
        <v>251.04</v>
      </c>
      <c r="I907" s="11">
        <v>251.04</v>
      </c>
      <c r="J907" s="9" t="s">
        <v>89</v>
      </c>
      <c r="K907" s="9" t="s">
        <v>44</v>
      </c>
    </row>
    <row r="908" spans="1:11" x14ac:dyDescent="0.25">
      <c r="A908" s="8" t="s">
        <v>84</v>
      </c>
      <c r="B908" s="9" t="s">
        <v>85</v>
      </c>
      <c r="C908" s="9" t="s">
        <v>85</v>
      </c>
      <c r="D908" s="9" t="s">
        <v>106</v>
      </c>
      <c r="E908" s="10">
        <v>2019</v>
      </c>
      <c r="F908" s="10">
        <v>2020</v>
      </c>
      <c r="G908" s="9" t="s">
        <v>46</v>
      </c>
      <c r="H908" s="11">
        <v>80159.44</v>
      </c>
      <c r="I908" s="11">
        <v>80159.44</v>
      </c>
      <c r="J908" s="9" t="s">
        <v>89</v>
      </c>
      <c r="K908" s="9" t="s">
        <v>44</v>
      </c>
    </row>
    <row r="909" spans="1:11" x14ac:dyDescent="0.25">
      <c r="A909" s="8" t="s">
        <v>84</v>
      </c>
      <c r="B909" s="9" t="s">
        <v>85</v>
      </c>
      <c r="C909" s="9" t="s">
        <v>85</v>
      </c>
      <c r="D909" s="9" t="s">
        <v>106</v>
      </c>
      <c r="E909" s="10">
        <v>2019</v>
      </c>
      <c r="F909" s="10">
        <v>2020</v>
      </c>
      <c r="G909" s="9" t="s">
        <v>50</v>
      </c>
      <c r="H909" s="11">
        <v>1641.24</v>
      </c>
      <c r="I909" s="11">
        <v>1641.24</v>
      </c>
      <c r="J909" s="9" t="s">
        <v>89</v>
      </c>
      <c r="K909" s="9" t="s">
        <v>44</v>
      </c>
    </row>
    <row r="910" spans="1:11" x14ac:dyDescent="0.25">
      <c r="A910" s="8" t="s">
        <v>86</v>
      </c>
      <c r="B910" s="9" t="s">
        <v>87</v>
      </c>
      <c r="C910" s="9" t="s">
        <v>69</v>
      </c>
      <c r="D910" s="9" t="s">
        <v>106</v>
      </c>
      <c r="E910" s="10">
        <v>2019</v>
      </c>
      <c r="F910" s="10">
        <v>2020</v>
      </c>
      <c r="G910" s="9" t="s">
        <v>42</v>
      </c>
      <c r="H910" s="11">
        <v>140168.18</v>
      </c>
      <c r="I910" s="11">
        <v>140168.18</v>
      </c>
      <c r="J910" s="9" t="s">
        <v>89</v>
      </c>
      <c r="K910" s="9" t="s">
        <v>44</v>
      </c>
    </row>
    <row r="911" spans="1:11" x14ac:dyDescent="0.25">
      <c r="A911" s="8" t="s">
        <v>86</v>
      </c>
      <c r="B911" s="9" t="s">
        <v>87</v>
      </c>
      <c r="C911" s="9" t="s">
        <v>69</v>
      </c>
      <c r="D911" s="9" t="s">
        <v>106</v>
      </c>
      <c r="E911" s="10">
        <v>2019</v>
      </c>
      <c r="F911" s="10">
        <v>2020</v>
      </c>
      <c r="G911" s="9" t="s">
        <v>45</v>
      </c>
      <c r="H911" s="11">
        <v>88.44</v>
      </c>
      <c r="I911" s="11">
        <v>88.44</v>
      </c>
      <c r="J911" s="9" t="s">
        <v>89</v>
      </c>
      <c r="K911" s="9" t="s">
        <v>44</v>
      </c>
    </row>
    <row r="912" spans="1:11" x14ac:dyDescent="0.25">
      <c r="A912" s="8" t="s">
        <v>86</v>
      </c>
      <c r="B912" s="9" t="s">
        <v>87</v>
      </c>
      <c r="C912" s="9" t="s">
        <v>69</v>
      </c>
      <c r="D912" s="9" t="s">
        <v>106</v>
      </c>
      <c r="E912" s="10">
        <v>2019</v>
      </c>
      <c r="F912" s="10">
        <v>2020</v>
      </c>
      <c r="G912" s="9" t="s">
        <v>46</v>
      </c>
      <c r="H912" s="11">
        <v>21196.98</v>
      </c>
      <c r="I912" s="11">
        <v>21196.98</v>
      </c>
      <c r="J912" s="9" t="s">
        <v>89</v>
      </c>
      <c r="K912" s="9" t="s">
        <v>44</v>
      </c>
    </row>
    <row r="913" spans="1:11" x14ac:dyDescent="0.25">
      <c r="A913" s="8" t="s">
        <v>86</v>
      </c>
      <c r="B913" s="9" t="s">
        <v>87</v>
      </c>
      <c r="C913" s="9" t="s">
        <v>69</v>
      </c>
      <c r="D913" s="9" t="s">
        <v>106</v>
      </c>
      <c r="E913" s="10">
        <v>2019</v>
      </c>
      <c r="F913" s="10">
        <v>2020</v>
      </c>
      <c r="G913" s="9" t="s">
        <v>50</v>
      </c>
      <c r="H913" s="11">
        <v>3991.04</v>
      </c>
      <c r="I913" s="11">
        <v>3991.04</v>
      </c>
      <c r="J913" s="9" t="s">
        <v>89</v>
      </c>
      <c r="K913" s="9" t="s">
        <v>44</v>
      </c>
    </row>
    <row r="914" spans="1:11" x14ac:dyDescent="0.25">
      <c r="A914" s="8" t="s">
        <v>38</v>
      </c>
      <c r="B914" s="9" t="s">
        <v>39</v>
      </c>
      <c r="C914" s="9" t="s">
        <v>40</v>
      </c>
      <c r="D914" s="9" t="s">
        <v>107</v>
      </c>
      <c r="E914" s="10">
        <v>2020</v>
      </c>
      <c r="F914" s="10">
        <v>2021</v>
      </c>
      <c r="G914" s="9" t="s">
        <v>42</v>
      </c>
      <c r="H914" s="11">
        <v>13617.95</v>
      </c>
      <c r="I914" s="11">
        <v>13617.95</v>
      </c>
      <c r="J914" s="9" t="s">
        <v>89</v>
      </c>
      <c r="K914" s="9" t="s">
        <v>44</v>
      </c>
    </row>
    <row r="915" spans="1:11" x14ac:dyDescent="0.25">
      <c r="A915" s="8" t="s">
        <v>38</v>
      </c>
      <c r="B915" s="9" t="s">
        <v>39</v>
      </c>
      <c r="C915" s="9" t="s">
        <v>40</v>
      </c>
      <c r="D915" s="9" t="s">
        <v>107</v>
      </c>
      <c r="E915" s="10">
        <v>2020</v>
      </c>
      <c r="F915" s="10">
        <v>2021</v>
      </c>
      <c r="G915" s="9" t="s">
        <v>46</v>
      </c>
      <c r="H915" s="11">
        <v>16045.04</v>
      </c>
      <c r="I915" s="11">
        <v>16045.04</v>
      </c>
      <c r="J915" s="9" t="s">
        <v>89</v>
      </c>
      <c r="K915" s="9" t="s">
        <v>44</v>
      </c>
    </row>
    <row r="916" spans="1:11" x14ac:dyDescent="0.25">
      <c r="A916" s="8" t="s">
        <v>47</v>
      </c>
      <c r="B916" s="9" t="s">
        <v>48</v>
      </c>
      <c r="C916" s="9" t="s">
        <v>49</v>
      </c>
      <c r="D916" s="9" t="s">
        <v>107</v>
      </c>
      <c r="E916" s="10">
        <v>2020</v>
      </c>
      <c r="F916" s="10">
        <v>2021</v>
      </c>
      <c r="G916" s="9" t="s">
        <v>42</v>
      </c>
      <c r="H916" s="11">
        <v>15554.68</v>
      </c>
      <c r="I916" s="11">
        <v>15554.68</v>
      </c>
      <c r="J916" s="9" t="s">
        <v>89</v>
      </c>
      <c r="K916" s="9" t="s">
        <v>44</v>
      </c>
    </row>
    <row r="917" spans="1:11" x14ac:dyDescent="0.25">
      <c r="A917" s="8" t="s">
        <v>47</v>
      </c>
      <c r="B917" s="9" t="s">
        <v>48</v>
      </c>
      <c r="C917" s="9" t="s">
        <v>49</v>
      </c>
      <c r="D917" s="9" t="s">
        <v>107</v>
      </c>
      <c r="E917" s="10">
        <v>2020</v>
      </c>
      <c r="F917" s="10">
        <v>2021</v>
      </c>
      <c r="G917" s="9" t="s">
        <v>45</v>
      </c>
      <c r="H917" s="11">
        <v>34.799999999999997</v>
      </c>
      <c r="I917" s="11">
        <v>34.799999999999997</v>
      </c>
      <c r="J917" s="9" t="s">
        <v>89</v>
      </c>
      <c r="K917" s="9" t="s">
        <v>44</v>
      </c>
    </row>
    <row r="918" spans="1:11" x14ac:dyDescent="0.25">
      <c r="A918" s="8" t="s">
        <v>47</v>
      </c>
      <c r="B918" s="9" t="s">
        <v>48</v>
      </c>
      <c r="C918" s="9" t="s">
        <v>49</v>
      </c>
      <c r="D918" s="9" t="s">
        <v>107</v>
      </c>
      <c r="E918" s="10">
        <v>2020</v>
      </c>
      <c r="F918" s="10">
        <v>2021</v>
      </c>
      <c r="G918" s="9" t="s">
        <v>46</v>
      </c>
      <c r="H918" s="11">
        <v>37677.1</v>
      </c>
      <c r="I918" s="11">
        <v>37677.1</v>
      </c>
      <c r="J918" s="9" t="s">
        <v>89</v>
      </c>
      <c r="K918" s="9" t="s">
        <v>44</v>
      </c>
    </row>
    <row r="919" spans="1:11" x14ac:dyDescent="0.25">
      <c r="A919" s="8" t="s">
        <v>47</v>
      </c>
      <c r="B919" s="9" t="s">
        <v>48</v>
      </c>
      <c r="C919" s="9" t="s">
        <v>49</v>
      </c>
      <c r="D919" s="9" t="s">
        <v>107</v>
      </c>
      <c r="E919" s="10">
        <v>2020</v>
      </c>
      <c r="F919" s="10">
        <v>2021</v>
      </c>
      <c r="G919" s="9" t="s">
        <v>50</v>
      </c>
      <c r="H919" s="11">
        <v>14.02</v>
      </c>
      <c r="I919" s="11">
        <v>14.02</v>
      </c>
      <c r="J919" s="9" t="s">
        <v>89</v>
      </c>
      <c r="K919" s="9" t="s">
        <v>44</v>
      </c>
    </row>
    <row r="920" spans="1:11" x14ac:dyDescent="0.25">
      <c r="A920" s="8" t="s">
        <v>51</v>
      </c>
      <c r="B920" s="9" t="s">
        <v>52</v>
      </c>
      <c r="C920" s="9" t="s">
        <v>53</v>
      </c>
      <c r="D920" s="9" t="s">
        <v>107</v>
      </c>
      <c r="E920" s="10">
        <v>2020</v>
      </c>
      <c r="F920" s="10">
        <v>2021</v>
      </c>
      <c r="G920" s="9" t="s">
        <v>42</v>
      </c>
      <c r="H920" s="11">
        <v>1909.35</v>
      </c>
      <c r="I920" s="11">
        <v>1909.35</v>
      </c>
      <c r="J920" s="9" t="s">
        <v>89</v>
      </c>
      <c r="K920" s="9" t="s">
        <v>44</v>
      </c>
    </row>
    <row r="921" spans="1:11" x14ac:dyDescent="0.25">
      <c r="A921" s="8" t="s">
        <v>51</v>
      </c>
      <c r="B921" s="9" t="s">
        <v>52</v>
      </c>
      <c r="C921" s="9" t="s">
        <v>53</v>
      </c>
      <c r="D921" s="9" t="s">
        <v>107</v>
      </c>
      <c r="E921" s="10">
        <v>2020</v>
      </c>
      <c r="F921" s="10">
        <v>2021</v>
      </c>
      <c r="G921" s="9" t="s">
        <v>45</v>
      </c>
      <c r="H921" s="11">
        <v>40.89</v>
      </c>
      <c r="I921" s="11">
        <v>40.89</v>
      </c>
      <c r="J921" s="9" t="s">
        <v>89</v>
      </c>
      <c r="K921" s="9" t="s">
        <v>44</v>
      </c>
    </row>
    <row r="922" spans="1:11" x14ac:dyDescent="0.25">
      <c r="A922" s="8" t="s">
        <v>51</v>
      </c>
      <c r="B922" s="9" t="s">
        <v>52</v>
      </c>
      <c r="C922" s="9" t="s">
        <v>53</v>
      </c>
      <c r="D922" s="9" t="s">
        <v>107</v>
      </c>
      <c r="E922" s="10">
        <v>2020</v>
      </c>
      <c r="F922" s="10">
        <v>2021</v>
      </c>
      <c r="G922" s="9" t="s">
        <v>46</v>
      </c>
      <c r="H922" s="11">
        <v>72114.759999999995</v>
      </c>
      <c r="I922" s="11">
        <v>72114.759999999995</v>
      </c>
      <c r="J922" s="9" t="s">
        <v>89</v>
      </c>
      <c r="K922" s="9" t="s">
        <v>44</v>
      </c>
    </row>
    <row r="923" spans="1:11" x14ac:dyDescent="0.25">
      <c r="A923" s="8" t="s">
        <v>51</v>
      </c>
      <c r="B923" s="9" t="s">
        <v>52</v>
      </c>
      <c r="C923" s="9" t="s">
        <v>53</v>
      </c>
      <c r="D923" s="9" t="s">
        <v>107</v>
      </c>
      <c r="E923" s="10">
        <v>2020</v>
      </c>
      <c r="F923" s="10">
        <v>2021</v>
      </c>
      <c r="G923" s="9" t="s">
        <v>50</v>
      </c>
      <c r="H923" s="11">
        <v>0.06</v>
      </c>
      <c r="I923" s="11">
        <v>0.06</v>
      </c>
      <c r="J923" s="9" t="s">
        <v>89</v>
      </c>
      <c r="K923" s="9" t="s">
        <v>44</v>
      </c>
    </row>
    <row r="924" spans="1:11" x14ac:dyDescent="0.25">
      <c r="A924" s="8" t="s">
        <v>54</v>
      </c>
      <c r="B924" s="9" t="s">
        <v>55</v>
      </c>
      <c r="C924" s="9" t="s">
        <v>49</v>
      </c>
      <c r="D924" s="9" t="s">
        <v>107</v>
      </c>
      <c r="E924" s="10">
        <v>2020</v>
      </c>
      <c r="F924" s="10">
        <v>2021</v>
      </c>
      <c r="G924" s="9" t="s">
        <v>42</v>
      </c>
      <c r="H924" s="11">
        <v>3988.77</v>
      </c>
      <c r="I924" s="11">
        <v>3988.77</v>
      </c>
      <c r="J924" s="9" t="s">
        <v>89</v>
      </c>
      <c r="K924" s="9" t="s">
        <v>44</v>
      </c>
    </row>
    <row r="925" spans="1:11" x14ac:dyDescent="0.25">
      <c r="A925" s="8" t="s">
        <v>54</v>
      </c>
      <c r="B925" s="9" t="s">
        <v>55</v>
      </c>
      <c r="C925" s="9" t="s">
        <v>49</v>
      </c>
      <c r="D925" s="9" t="s">
        <v>107</v>
      </c>
      <c r="E925" s="10">
        <v>2020</v>
      </c>
      <c r="F925" s="10">
        <v>2021</v>
      </c>
      <c r="G925" s="9" t="s">
        <v>45</v>
      </c>
      <c r="H925" s="11">
        <v>17.09</v>
      </c>
      <c r="I925" s="11">
        <v>17.09</v>
      </c>
      <c r="J925" s="9" t="s">
        <v>89</v>
      </c>
      <c r="K925" s="9" t="s">
        <v>44</v>
      </c>
    </row>
    <row r="926" spans="1:11" x14ac:dyDescent="0.25">
      <c r="A926" s="8" t="s">
        <v>54</v>
      </c>
      <c r="B926" s="9" t="s">
        <v>55</v>
      </c>
      <c r="C926" s="9" t="s">
        <v>49</v>
      </c>
      <c r="D926" s="9" t="s">
        <v>107</v>
      </c>
      <c r="E926" s="10">
        <v>2020</v>
      </c>
      <c r="F926" s="10">
        <v>2021</v>
      </c>
      <c r="G926" s="9" t="s">
        <v>46</v>
      </c>
      <c r="H926" s="11">
        <v>34356.480000000003</v>
      </c>
      <c r="I926" s="11">
        <v>34356.480000000003</v>
      </c>
      <c r="J926" s="9" t="s">
        <v>89</v>
      </c>
      <c r="K926" s="9" t="s">
        <v>44</v>
      </c>
    </row>
    <row r="927" spans="1:11" x14ac:dyDescent="0.25">
      <c r="A927" s="8" t="s">
        <v>54</v>
      </c>
      <c r="B927" s="9" t="s">
        <v>55</v>
      </c>
      <c r="C927" s="9" t="s">
        <v>49</v>
      </c>
      <c r="D927" s="9" t="s">
        <v>107</v>
      </c>
      <c r="E927" s="10">
        <v>2020</v>
      </c>
      <c r="F927" s="10">
        <v>2021</v>
      </c>
      <c r="G927" s="9" t="s">
        <v>50</v>
      </c>
      <c r="H927" s="11">
        <v>1.92</v>
      </c>
      <c r="I927" s="11">
        <v>1.92</v>
      </c>
      <c r="J927" s="9" t="s">
        <v>89</v>
      </c>
      <c r="K927" s="9" t="s">
        <v>44</v>
      </c>
    </row>
    <row r="928" spans="1:11" x14ac:dyDescent="0.25">
      <c r="A928" s="8" t="s">
        <v>56</v>
      </c>
      <c r="B928" s="9" t="s">
        <v>57</v>
      </c>
      <c r="C928" s="9" t="s">
        <v>40</v>
      </c>
      <c r="D928" s="9" t="s">
        <v>107</v>
      </c>
      <c r="E928" s="10">
        <v>2020</v>
      </c>
      <c r="F928" s="10">
        <v>2021</v>
      </c>
      <c r="G928" s="9" t="s">
        <v>42</v>
      </c>
      <c r="H928" s="11">
        <v>12350.46</v>
      </c>
      <c r="I928" s="11">
        <v>12350.46</v>
      </c>
      <c r="J928" s="9" t="s">
        <v>89</v>
      </c>
      <c r="K928" s="9" t="s">
        <v>44</v>
      </c>
    </row>
    <row r="929" spans="1:11" x14ac:dyDescent="0.25">
      <c r="A929" s="8" t="s">
        <v>56</v>
      </c>
      <c r="B929" s="9" t="s">
        <v>57</v>
      </c>
      <c r="C929" s="9" t="s">
        <v>40</v>
      </c>
      <c r="D929" s="9" t="s">
        <v>107</v>
      </c>
      <c r="E929" s="10">
        <v>2020</v>
      </c>
      <c r="F929" s="10">
        <v>2021</v>
      </c>
      <c r="G929" s="9" t="s">
        <v>45</v>
      </c>
      <c r="H929" s="11">
        <v>19.489999999999998</v>
      </c>
      <c r="I929" s="11">
        <v>19.489999999999998</v>
      </c>
      <c r="J929" s="9" t="s">
        <v>89</v>
      </c>
      <c r="K929" s="9" t="s">
        <v>44</v>
      </c>
    </row>
    <row r="930" spans="1:11" x14ac:dyDescent="0.25">
      <c r="A930" s="8" t="s">
        <v>56</v>
      </c>
      <c r="B930" s="9" t="s">
        <v>57</v>
      </c>
      <c r="C930" s="9" t="s">
        <v>40</v>
      </c>
      <c r="D930" s="9" t="s">
        <v>107</v>
      </c>
      <c r="E930" s="10">
        <v>2020</v>
      </c>
      <c r="F930" s="10">
        <v>2021</v>
      </c>
      <c r="G930" s="9" t="s">
        <v>46</v>
      </c>
      <c r="H930" s="11">
        <v>24075.33</v>
      </c>
      <c r="I930" s="11">
        <v>24075.33</v>
      </c>
      <c r="J930" s="9" t="s">
        <v>89</v>
      </c>
      <c r="K930" s="9" t="s">
        <v>44</v>
      </c>
    </row>
    <row r="931" spans="1:11" x14ac:dyDescent="0.25">
      <c r="A931" s="8" t="s">
        <v>58</v>
      </c>
      <c r="B931" s="9" t="s">
        <v>59</v>
      </c>
      <c r="C931" s="9" t="s">
        <v>49</v>
      </c>
      <c r="D931" s="9" t="s">
        <v>107</v>
      </c>
      <c r="E931" s="10">
        <v>2020</v>
      </c>
      <c r="F931" s="10">
        <v>2021</v>
      </c>
      <c r="G931" s="9" t="s">
        <v>42</v>
      </c>
      <c r="H931" s="11">
        <v>18850.580000000002</v>
      </c>
      <c r="I931" s="11">
        <v>18850.580000000002</v>
      </c>
      <c r="J931" s="9" t="s">
        <v>89</v>
      </c>
      <c r="K931" s="9" t="s">
        <v>44</v>
      </c>
    </row>
    <row r="932" spans="1:11" x14ac:dyDescent="0.25">
      <c r="A932" s="8" t="s">
        <v>58</v>
      </c>
      <c r="B932" s="9" t="s">
        <v>59</v>
      </c>
      <c r="C932" s="9" t="s">
        <v>49</v>
      </c>
      <c r="D932" s="9" t="s">
        <v>107</v>
      </c>
      <c r="E932" s="10">
        <v>2020</v>
      </c>
      <c r="F932" s="10">
        <v>2021</v>
      </c>
      <c r="G932" s="9" t="s">
        <v>45</v>
      </c>
      <c r="H932" s="11">
        <v>16.190000000000001</v>
      </c>
      <c r="I932" s="11">
        <v>16.190000000000001</v>
      </c>
      <c r="J932" s="9" t="s">
        <v>89</v>
      </c>
      <c r="K932" s="9" t="s">
        <v>44</v>
      </c>
    </row>
    <row r="933" spans="1:11" x14ac:dyDescent="0.25">
      <c r="A933" s="8" t="s">
        <v>58</v>
      </c>
      <c r="B933" s="9" t="s">
        <v>59</v>
      </c>
      <c r="C933" s="9" t="s">
        <v>49</v>
      </c>
      <c r="D933" s="9" t="s">
        <v>107</v>
      </c>
      <c r="E933" s="10">
        <v>2020</v>
      </c>
      <c r="F933" s="10">
        <v>2021</v>
      </c>
      <c r="G933" s="9" t="s">
        <v>46</v>
      </c>
      <c r="H933" s="11">
        <v>51560.9</v>
      </c>
      <c r="I933" s="11">
        <v>51560.9</v>
      </c>
      <c r="J933" s="9" t="s">
        <v>89</v>
      </c>
      <c r="K933" s="9" t="s">
        <v>44</v>
      </c>
    </row>
    <row r="934" spans="1:11" x14ac:dyDescent="0.25">
      <c r="A934" s="8" t="s">
        <v>58</v>
      </c>
      <c r="B934" s="9" t="s">
        <v>59</v>
      </c>
      <c r="C934" s="9" t="s">
        <v>49</v>
      </c>
      <c r="D934" s="9" t="s">
        <v>107</v>
      </c>
      <c r="E934" s="10">
        <v>2020</v>
      </c>
      <c r="F934" s="10">
        <v>2021</v>
      </c>
      <c r="G934" s="9" t="s">
        <v>50</v>
      </c>
      <c r="H934" s="11">
        <v>35.14</v>
      </c>
      <c r="I934" s="11">
        <v>35.14</v>
      </c>
      <c r="J934" s="9" t="s">
        <v>89</v>
      </c>
      <c r="K934" s="9" t="s">
        <v>44</v>
      </c>
    </row>
    <row r="935" spans="1:11" x14ac:dyDescent="0.25">
      <c r="A935" s="8" t="s">
        <v>60</v>
      </c>
      <c r="B935" s="9" t="s">
        <v>61</v>
      </c>
      <c r="C935" s="9" t="s">
        <v>40</v>
      </c>
      <c r="D935" s="9" t="s">
        <v>107</v>
      </c>
      <c r="E935" s="10">
        <v>2020</v>
      </c>
      <c r="F935" s="10">
        <v>2021</v>
      </c>
      <c r="G935" s="9" t="s">
        <v>42</v>
      </c>
      <c r="H935" s="11">
        <v>139453.1</v>
      </c>
      <c r="I935" s="11">
        <v>139453.1</v>
      </c>
      <c r="J935" s="9" t="s">
        <v>89</v>
      </c>
      <c r="K935" s="9" t="s">
        <v>44</v>
      </c>
    </row>
    <row r="936" spans="1:11" x14ac:dyDescent="0.25">
      <c r="A936" s="8" t="s">
        <v>60</v>
      </c>
      <c r="B936" s="9" t="s">
        <v>61</v>
      </c>
      <c r="C936" s="9" t="s">
        <v>40</v>
      </c>
      <c r="D936" s="9" t="s">
        <v>107</v>
      </c>
      <c r="E936" s="10">
        <v>2020</v>
      </c>
      <c r="F936" s="10">
        <v>2021</v>
      </c>
      <c r="G936" s="9" t="s">
        <v>45</v>
      </c>
      <c r="H936" s="11">
        <v>222.52</v>
      </c>
      <c r="I936" s="11">
        <v>222.52</v>
      </c>
      <c r="J936" s="9" t="s">
        <v>89</v>
      </c>
      <c r="K936" s="9" t="s">
        <v>44</v>
      </c>
    </row>
    <row r="937" spans="1:11" x14ac:dyDescent="0.25">
      <c r="A937" s="8" t="s">
        <v>60</v>
      </c>
      <c r="B937" s="9" t="s">
        <v>61</v>
      </c>
      <c r="C937" s="9" t="s">
        <v>40</v>
      </c>
      <c r="D937" s="9" t="s">
        <v>107</v>
      </c>
      <c r="E937" s="10">
        <v>2020</v>
      </c>
      <c r="F937" s="10">
        <v>2021</v>
      </c>
      <c r="G937" s="9" t="s">
        <v>46</v>
      </c>
      <c r="H937" s="11">
        <v>55215.54</v>
      </c>
      <c r="I937" s="11">
        <v>55215.54</v>
      </c>
      <c r="J937" s="9" t="s">
        <v>89</v>
      </c>
      <c r="K937" s="9" t="s">
        <v>44</v>
      </c>
    </row>
    <row r="938" spans="1:11" x14ac:dyDescent="0.25">
      <c r="A938" s="8" t="s">
        <v>60</v>
      </c>
      <c r="B938" s="9" t="s">
        <v>61</v>
      </c>
      <c r="C938" s="9" t="s">
        <v>40</v>
      </c>
      <c r="D938" s="9" t="s">
        <v>107</v>
      </c>
      <c r="E938" s="10">
        <v>2020</v>
      </c>
      <c r="F938" s="10">
        <v>2021</v>
      </c>
      <c r="G938" s="9" t="s">
        <v>50</v>
      </c>
      <c r="H938" s="11">
        <v>30.64</v>
      </c>
      <c r="I938" s="11">
        <v>30.64</v>
      </c>
      <c r="J938" s="9" t="s">
        <v>89</v>
      </c>
      <c r="K938" s="9" t="s">
        <v>44</v>
      </c>
    </row>
    <row r="939" spans="1:11" x14ac:dyDescent="0.25">
      <c r="A939" s="8" t="s">
        <v>62</v>
      </c>
      <c r="B939" s="9" t="s">
        <v>63</v>
      </c>
      <c r="C939" s="9" t="s">
        <v>40</v>
      </c>
      <c r="D939" s="9" t="s">
        <v>107</v>
      </c>
      <c r="E939" s="10">
        <v>2020</v>
      </c>
      <c r="F939" s="10">
        <v>2021</v>
      </c>
      <c r="G939" s="9" t="s">
        <v>42</v>
      </c>
      <c r="H939" s="11">
        <v>91644.87</v>
      </c>
      <c r="I939" s="11">
        <v>91644.87</v>
      </c>
      <c r="J939" s="9" t="s">
        <v>89</v>
      </c>
      <c r="K939" s="9" t="s">
        <v>44</v>
      </c>
    </row>
    <row r="940" spans="1:11" x14ac:dyDescent="0.25">
      <c r="A940" s="8" t="s">
        <v>62</v>
      </c>
      <c r="B940" s="9" t="s">
        <v>63</v>
      </c>
      <c r="C940" s="9" t="s">
        <v>40</v>
      </c>
      <c r="D940" s="9" t="s">
        <v>107</v>
      </c>
      <c r="E940" s="10">
        <v>2020</v>
      </c>
      <c r="F940" s="10">
        <v>2021</v>
      </c>
      <c r="G940" s="9" t="s">
        <v>45</v>
      </c>
      <c r="H940" s="11">
        <v>81.099999999999994</v>
      </c>
      <c r="I940" s="11">
        <v>81.099999999999994</v>
      </c>
      <c r="J940" s="9" t="s">
        <v>89</v>
      </c>
      <c r="K940" s="9" t="s">
        <v>44</v>
      </c>
    </row>
    <row r="941" spans="1:11" x14ac:dyDescent="0.25">
      <c r="A941" s="8" t="s">
        <v>62</v>
      </c>
      <c r="B941" s="9" t="s">
        <v>63</v>
      </c>
      <c r="C941" s="9" t="s">
        <v>40</v>
      </c>
      <c r="D941" s="9" t="s">
        <v>107</v>
      </c>
      <c r="E941" s="10">
        <v>2020</v>
      </c>
      <c r="F941" s="10">
        <v>2021</v>
      </c>
      <c r="G941" s="9" t="s">
        <v>46</v>
      </c>
      <c r="H941" s="11">
        <v>46496.67</v>
      </c>
      <c r="I941" s="11">
        <v>46496.67</v>
      </c>
      <c r="J941" s="9" t="s">
        <v>89</v>
      </c>
      <c r="K941" s="9" t="s">
        <v>44</v>
      </c>
    </row>
    <row r="942" spans="1:11" x14ac:dyDescent="0.25">
      <c r="A942" s="8" t="s">
        <v>62</v>
      </c>
      <c r="B942" s="9" t="s">
        <v>63</v>
      </c>
      <c r="C942" s="9" t="s">
        <v>40</v>
      </c>
      <c r="D942" s="9" t="s">
        <v>107</v>
      </c>
      <c r="E942" s="10">
        <v>2020</v>
      </c>
      <c r="F942" s="10">
        <v>2021</v>
      </c>
      <c r="G942" s="9" t="s">
        <v>50</v>
      </c>
      <c r="H942" s="11">
        <v>2.81</v>
      </c>
      <c r="I942" s="11">
        <v>2.81</v>
      </c>
      <c r="J942" s="9" t="s">
        <v>89</v>
      </c>
      <c r="K942" s="9" t="s">
        <v>44</v>
      </c>
    </row>
    <row r="943" spans="1:11" x14ac:dyDescent="0.25">
      <c r="A943" s="8" t="s">
        <v>65</v>
      </c>
      <c r="B943" s="9" t="s">
        <v>66</v>
      </c>
      <c r="C943" s="9" t="s">
        <v>40</v>
      </c>
      <c r="D943" s="9" t="s">
        <v>107</v>
      </c>
      <c r="E943" s="10">
        <v>2020</v>
      </c>
      <c r="F943" s="10">
        <v>2021</v>
      </c>
      <c r="G943" s="9" t="s">
        <v>42</v>
      </c>
      <c r="H943" s="11">
        <v>1514.35</v>
      </c>
      <c r="I943" s="11">
        <v>1514.35</v>
      </c>
      <c r="J943" s="9" t="s">
        <v>89</v>
      </c>
      <c r="K943" s="9" t="s">
        <v>44</v>
      </c>
    </row>
    <row r="944" spans="1:11" x14ac:dyDescent="0.25">
      <c r="A944" s="8" t="s">
        <v>65</v>
      </c>
      <c r="B944" s="9" t="s">
        <v>66</v>
      </c>
      <c r="C944" s="9" t="s">
        <v>40</v>
      </c>
      <c r="D944" s="9" t="s">
        <v>107</v>
      </c>
      <c r="E944" s="10">
        <v>2020</v>
      </c>
      <c r="F944" s="10">
        <v>2021</v>
      </c>
      <c r="G944" s="9" t="s">
        <v>46</v>
      </c>
      <c r="H944" s="11">
        <v>7817.91</v>
      </c>
      <c r="I944" s="11">
        <v>7817.91</v>
      </c>
      <c r="J944" s="9" t="s">
        <v>89</v>
      </c>
      <c r="K944" s="9" t="s">
        <v>44</v>
      </c>
    </row>
    <row r="945" spans="1:11" x14ac:dyDescent="0.25">
      <c r="A945" s="8" t="s">
        <v>67</v>
      </c>
      <c r="B945" s="9" t="s">
        <v>68</v>
      </c>
      <c r="C945" s="9" t="s">
        <v>69</v>
      </c>
      <c r="D945" s="9" t="s">
        <v>107</v>
      </c>
      <c r="E945" s="10">
        <v>2020</v>
      </c>
      <c r="F945" s="10">
        <v>2021</v>
      </c>
      <c r="G945" s="9" t="s">
        <v>42</v>
      </c>
      <c r="H945" s="11">
        <v>98261.43</v>
      </c>
      <c r="I945" s="11">
        <v>98261.43</v>
      </c>
      <c r="J945" s="9" t="s">
        <v>89</v>
      </c>
      <c r="K945" s="9" t="s">
        <v>44</v>
      </c>
    </row>
    <row r="946" spans="1:11" x14ac:dyDescent="0.25">
      <c r="A946" s="8" t="s">
        <v>67</v>
      </c>
      <c r="B946" s="9" t="s">
        <v>68</v>
      </c>
      <c r="C946" s="9" t="s">
        <v>69</v>
      </c>
      <c r="D946" s="9" t="s">
        <v>107</v>
      </c>
      <c r="E946" s="10">
        <v>2020</v>
      </c>
      <c r="F946" s="10">
        <v>2021</v>
      </c>
      <c r="G946" s="9" t="s">
        <v>45</v>
      </c>
      <c r="H946" s="11">
        <v>108.15</v>
      </c>
      <c r="I946" s="11">
        <v>108.15</v>
      </c>
      <c r="J946" s="9" t="s">
        <v>89</v>
      </c>
      <c r="K946" s="9" t="s">
        <v>44</v>
      </c>
    </row>
    <row r="947" spans="1:11" x14ac:dyDescent="0.25">
      <c r="A947" s="8" t="s">
        <v>67</v>
      </c>
      <c r="B947" s="9" t="s">
        <v>68</v>
      </c>
      <c r="C947" s="9" t="s">
        <v>69</v>
      </c>
      <c r="D947" s="9" t="s">
        <v>107</v>
      </c>
      <c r="E947" s="10">
        <v>2020</v>
      </c>
      <c r="F947" s="10">
        <v>2021</v>
      </c>
      <c r="G947" s="9" t="s">
        <v>46</v>
      </c>
      <c r="H947" s="11">
        <v>25608.799999999999</v>
      </c>
      <c r="I947" s="11">
        <v>25608.799999999999</v>
      </c>
      <c r="J947" s="9" t="s">
        <v>89</v>
      </c>
      <c r="K947" s="9" t="s">
        <v>44</v>
      </c>
    </row>
    <row r="948" spans="1:11" x14ac:dyDescent="0.25">
      <c r="A948" s="8" t="s">
        <v>67</v>
      </c>
      <c r="B948" s="9" t="s">
        <v>68</v>
      </c>
      <c r="C948" s="9" t="s">
        <v>69</v>
      </c>
      <c r="D948" s="9" t="s">
        <v>107</v>
      </c>
      <c r="E948" s="10">
        <v>2020</v>
      </c>
      <c r="F948" s="10">
        <v>2021</v>
      </c>
      <c r="G948" s="9" t="s">
        <v>50</v>
      </c>
      <c r="H948" s="11">
        <v>915.25</v>
      </c>
      <c r="I948" s="11">
        <v>915.25</v>
      </c>
      <c r="J948" s="9" t="s">
        <v>89</v>
      </c>
      <c r="K948" s="9" t="s">
        <v>44</v>
      </c>
    </row>
    <row r="949" spans="1:11" x14ac:dyDescent="0.25">
      <c r="A949" s="8" t="s">
        <v>70</v>
      </c>
      <c r="B949" s="9" t="s">
        <v>71</v>
      </c>
      <c r="C949" s="9" t="s">
        <v>49</v>
      </c>
      <c r="D949" s="9" t="s">
        <v>107</v>
      </c>
      <c r="E949" s="10">
        <v>2020</v>
      </c>
      <c r="F949" s="10">
        <v>2021</v>
      </c>
      <c r="G949" s="9" t="s">
        <v>42</v>
      </c>
      <c r="H949" s="11">
        <v>65768.36</v>
      </c>
      <c r="I949" s="11">
        <v>65768.36</v>
      </c>
      <c r="J949" s="9" t="s">
        <v>89</v>
      </c>
      <c r="K949" s="9" t="s">
        <v>44</v>
      </c>
    </row>
    <row r="950" spans="1:11" x14ac:dyDescent="0.25">
      <c r="A950" s="8" t="s">
        <v>70</v>
      </c>
      <c r="B950" s="9" t="s">
        <v>71</v>
      </c>
      <c r="C950" s="9" t="s">
        <v>49</v>
      </c>
      <c r="D950" s="9" t="s">
        <v>107</v>
      </c>
      <c r="E950" s="10">
        <v>2020</v>
      </c>
      <c r="F950" s="10">
        <v>2021</v>
      </c>
      <c r="G950" s="9" t="s">
        <v>45</v>
      </c>
      <c r="H950" s="11">
        <v>122.33</v>
      </c>
      <c r="I950" s="11">
        <v>122.33</v>
      </c>
      <c r="J950" s="9" t="s">
        <v>89</v>
      </c>
      <c r="K950" s="9" t="s">
        <v>44</v>
      </c>
    </row>
    <row r="951" spans="1:11" x14ac:dyDescent="0.25">
      <c r="A951" s="8" t="s">
        <v>70</v>
      </c>
      <c r="B951" s="9" t="s">
        <v>71</v>
      </c>
      <c r="C951" s="9" t="s">
        <v>49</v>
      </c>
      <c r="D951" s="9" t="s">
        <v>107</v>
      </c>
      <c r="E951" s="10">
        <v>2020</v>
      </c>
      <c r="F951" s="10">
        <v>2021</v>
      </c>
      <c r="G951" s="9" t="s">
        <v>46</v>
      </c>
      <c r="H951" s="11">
        <v>39797.129999999997</v>
      </c>
      <c r="I951" s="11">
        <v>39797.129999999997</v>
      </c>
      <c r="J951" s="9" t="s">
        <v>89</v>
      </c>
      <c r="K951" s="9" t="s">
        <v>44</v>
      </c>
    </row>
    <row r="952" spans="1:11" x14ac:dyDescent="0.25">
      <c r="A952" s="8" t="s">
        <v>70</v>
      </c>
      <c r="B952" s="9" t="s">
        <v>71</v>
      </c>
      <c r="C952" s="9" t="s">
        <v>49</v>
      </c>
      <c r="D952" s="9" t="s">
        <v>107</v>
      </c>
      <c r="E952" s="10">
        <v>2020</v>
      </c>
      <c r="F952" s="10">
        <v>2021</v>
      </c>
      <c r="G952" s="9" t="s">
        <v>50</v>
      </c>
      <c r="H952" s="11">
        <v>201.69</v>
      </c>
      <c r="I952" s="11">
        <v>201.69</v>
      </c>
      <c r="J952" s="9" t="s">
        <v>89</v>
      </c>
      <c r="K952" s="9" t="s">
        <v>44</v>
      </c>
    </row>
    <row r="953" spans="1:11" x14ac:dyDescent="0.25">
      <c r="A953" s="8" t="s">
        <v>72</v>
      </c>
      <c r="B953" s="9" t="s">
        <v>73</v>
      </c>
      <c r="C953" s="9" t="s">
        <v>53</v>
      </c>
      <c r="D953" s="9" t="s">
        <v>107</v>
      </c>
      <c r="E953" s="10">
        <v>2020</v>
      </c>
      <c r="F953" s="10">
        <v>2021</v>
      </c>
      <c r="G953" s="9" t="s">
        <v>42</v>
      </c>
      <c r="H953" s="11">
        <v>17238.330000000002</v>
      </c>
      <c r="I953" s="11">
        <v>17238.330000000002</v>
      </c>
      <c r="J953" s="9" t="s">
        <v>89</v>
      </c>
      <c r="K953" s="9" t="s">
        <v>44</v>
      </c>
    </row>
    <row r="954" spans="1:11" x14ac:dyDescent="0.25">
      <c r="A954" s="8" t="s">
        <v>72</v>
      </c>
      <c r="B954" s="9" t="s">
        <v>73</v>
      </c>
      <c r="C954" s="9" t="s">
        <v>53</v>
      </c>
      <c r="D954" s="9" t="s">
        <v>107</v>
      </c>
      <c r="E954" s="10">
        <v>2020</v>
      </c>
      <c r="F954" s="10">
        <v>2021</v>
      </c>
      <c r="G954" s="9" t="s">
        <v>45</v>
      </c>
      <c r="H954" s="11">
        <v>24.91</v>
      </c>
      <c r="I954" s="11">
        <v>24.91</v>
      </c>
      <c r="J954" s="9" t="s">
        <v>89</v>
      </c>
      <c r="K954" s="9" t="s">
        <v>44</v>
      </c>
    </row>
    <row r="955" spans="1:11" x14ac:dyDescent="0.25">
      <c r="A955" s="8" t="s">
        <v>72</v>
      </c>
      <c r="B955" s="9" t="s">
        <v>73</v>
      </c>
      <c r="C955" s="9" t="s">
        <v>53</v>
      </c>
      <c r="D955" s="9" t="s">
        <v>107</v>
      </c>
      <c r="E955" s="10">
        <v>2020</v>
      </c>
      <c r="F955" s="10">
        <v>2021</v>
      </c>
      <c r="G955" s="9" t="s">
        <v>46</v>
      </c>
      <c r="H955" s="11">
        <v>107750</v>
      </c>
      <c r="I955" s="11">
        <v>107750</v>
      </c>
      <c r="J955" s="9" t="s">
        <v>89</v>
      </c>
      <c r="K955" s="9" t="s">
        <v>44</v>
      </c>
    </row>
    <row r="956" spans="1:11" x14ac:dyDescent="0.25">
      <c r="A956" s="8" t="s">
        <v>72</v>
      </c>
      <c r="B956" s="9" t="s">
        <v>73</v>
      </c>
      <c r="C956" s="9" t="s">
        <v>53</v>
      </c>
      <c r="D956" s="9" t="s">
        <v>107</v>
      </c>
      <c r="E956" s="10">
        <v>2020</v>
      </c>
      <c r="F956" s="10">
        <v>2021</v>
      </c>
      <c r="G956" s="9" t="s">
        <v>50</v>
      </c>
      <c r="H956" s="11">
        <v>0.21</v>
      </c>
      <c r="I956" s="11">
        <v>0.21</v>
      </c>
      <c r="J956" s="9" t="s">
        <v>89</v>
      </c>
      <c r="K956" s="9" t="s">
        <v>44</v>
      </c>
    </row>
    <row r="957" spans="1:11" x14ac:dyDescent="0.25">
      <c r="A957" s="8" t="s">
        <v>74</v>
      </c>
      <c r="B957" s="9" t="s">
        <v>75</v>
      </c>
      <c r="C957" s="9" t="s">
        <v>40</v>
      </c>
      <c r="D957" s="9" t="s">
        <v>107</v>
      </c>
      <c r="E957" s="10">
        <v>2020</v>
      </c>
      <c r="F957" s="10">
        <v>2021</v>
      </c>
      <c r="G957" s="9" t="s">
        <v>42</v>
      </c>
      <c r="H957" s="11">
        <v>13899.2</v>
      </c>
      <c r="I957" s="11">
        <v>13899.2</v>
      </c>
      <c r="J957" s="9" t="s">
        <v>89</v>
      </c>
      <c r="K957" s="9" t="s">
        <v>44</v>
      </c>
    </row>
    <row r="958" spans="1:11" x14ac:dyDescent="0.25">
      <c r="A958" s="8" t="s">
        <v>74</v>
      </c>
      <c r="B958" s="9" t="s">
        <v>75</v>
      </c>
      <c r="C958" s="9" t="s">
        <v>40</v>
      </c>
      <c r="D958" s="9" t="s">
        <v>107</v>
      </c>
      <c r="E958" s="10">
        <v>2020</v>
      </c>
      <c r="F958" s="10">
        <v>2021</v>
      </c>
      <c r="G958" s="9" t="s">
        <v>45</v>
      </c>
      <c r="H958" s="11">
        <v>9.82</v>
      </c>
      <c r="I958" s="11">
        <v>9.82</v>
      </c>
      <c r="J958" s="9" t="s">
        <v>89</v>
      </c>
      <c r="K958" s="9" t="s">
        <v>44</v>
      </c>
    </row>
    <row r="959" spans="1:11" x14ac:dyDescent="0.25">
      <c r="A959" s="8" t="s">
        <v>74</v>
      </c>
      <c r="B959" s="9" t="s">
        <v>75</v>
      </c>
      <c r="C959" s="9" t="s">
        <v>40</v>
      </c>
      <c r="D959" s="9" t="s">
        <v>107</v>
      </c>
      <c r="E959" s="10">
        <v>2020</v>
      </c>
      <c r="F959" s="10">
        <v>2021</v>
      </c>
      <c r="G959" s="9" t="s">
        <v>46</v>
      </c>
      <c r="H959" s="11">
        <v>29446.880000000001</v>
      </c>
      <c r="I959" s="11">
        <v>29446.880000000001</v>
      </c>
      <c r="J959" s="9" t="s">
        <v>89</v>
      </c>
      <c r="K959" s="9" t="s">
        <v>44</v>
      </c>
    </row>
    <row r="960" spans="1:11" x14ac:dyDescent="0.25">
      <c r="A960" s="8" t="s">
        <v>76</v>
      </c>
      <c r="B960" s="9" t="s">
        <v>77</v>
      </c>
      <c r="C960" s="9" t="s">
        <v>53</v>
      </c>
      <c r="D960" s="9" t="s">
        <v>107</v>
      </c>
      <c r="E960" s="10">
        <v>2020</v>
      </c>
      <c r="F960" s="10">
        <v>2021</v>
      </c>
      <c r="G960" s="9" t="s">
        <v>42</v>
      </c>
      <c r="H960" s="11">
        <v>572.71</v>
      </c>
      <c r="I960" s="11">
        <v>572.71</v>
      </c>
      <c r="J960" s="9" t="s">
        <v>89</v>
      </c>
      <c r="K960" s="9" t="s">
        <v>44</v>
      </c>
    </row>
    <row r="961" spans="1:11" x14ac:dyDescent="0.25">
      <c r="A961" s="8" t="s">
        <v>76</v>
      </c>
      <c r="B961" s="9" t="s">
        <v>77</v>
      </c>
      <c r="C961" s="9" t="s">
        <v>53</v>
      </c>
      <c r="D961" s="9" t="s">
        <v>107</v>
      </c>
      <c r="E961" s="10">
        <v>2020</v>
      </c>
      <c r="F961" s="10">
        <v>2021</v>
      </c>
      <c r="G961" s="9" t="s">
        <v>46</v>
      </c>
      <c r="H961" s="11">
        <v>24510.61</v>
      </c>
      <c r="I961" s="11">
        <v>24510.61</v>
      </c>
      <c r="J961" s="9" t="s">
        <v>89</v>
      </c>
      <c r="K961" s="9" t="s">
        <v>44</v>
      </c>
    </row>
    <row r="962" spans="1:11" x14ac:dyDescent="0.25">
      <c r="A962" s="8" t="s">
        <v>76</v>
      </c>
      <c r="B962" s="9" t="s">
        <v>77</v>
      </c>
      <c r="C962" s="9" t="s">
        <v>53</v>
      </c>
      <c r="D962" s="9" t="s">
        <v>107</v>
      </c>
      <c r="E962" s="10">
        <v>2020</v>
      </c>
      <c r="F962" s="10">
        <v>2021</v>
      </c>
      <c r="G962" s="9" t="s">
        <v>50</v>
      </c>
      <c r="H962" s="11">
        <v>0.12</v>
      </c>
      <c r="I962" s="11">
        <v>0.12</v>
      </c>
      <c r="J962" s="9" t="s">
        <v>89</v>
      </c>
      <c r="K962" s="9" t="s">
        <v>44</v>
      </c>
    </row>
    <row r="963" spans="1:11" x14ac:dyDescent="0.25">
      <c r="A963" s="8" t="s">
        <v>78</v>
      </c>
      <c r="B963" s="9" t="s">
        <v>79</v>
      </c>
      <c r="C963" s="9" t="s">
        <v>53</v>
      </c>
      <c r="D963" s="9" t="s">
        <v>107</v>
      </c>
      <c r="E963" s="10">
        <v>2020</v>
      </c>
      <c r="F963" s="10">
        <v>2021</v>
      </c>
      <c r="G963" s="9" t="s">
        <v>42</v>
      </c>
      <c r="H963" s="11">
        <v>2355.33</v>
      </c>
      <c r="I963" s="11">
        <v>2355.33</v>
      </c>
      <c r="J963" s="9" t="s">
        <v>89</v>
      </c>
      <c r="K963" s="9" t="s">
        <v>44</v>
      </c>
    </row>
    <row r="964" spans="1:11" x14ac:dyDescent="0.25">
      <c r="A964" s="8" t="s">
        <v>78</v>
      </c>
      <c r="B964" s="9" t="s">
        <v>79</v>
      </c>
      <c r="C964" s="9" t="s">
        <v>53</v>
      </c>
      <c r="D964" s="9" t="s">
        <v>107</v>
      </c>
      <c r="E964" s="10">
        <v>2020</v>
      </c>
      <c r="F964" s="10">
        <v>2021</v>
      </c>
      <c r="G964" s="9" t="s">
        <v>45</v>
      </c>
      <c r="H964" s="11">
        <v>5.97</v>
      </c>
      <c r="I964" s="11">
        <v>5.97</v>
      </c>
      <c r="J964" s="9" t="s">
        <v>89</v>
      </c>
      <c r="K964" s="9" t="s">
        <v>44</v>
      </c>
    </row>
    <row r="965" spans="1:11" x14ac:dyDescent="0.25">
      <c r="A965" s="8" t="s">
        <v>78</v>
      </c>
      <c r="B965" s="9" t="s">
        <v>79</v>
      </c>
      <c r="C965" s="9" t="s">
        <v>53</v>
      </c>
      <c r="D965" s="9" t="s">
        <v>107</v>
      </c>
      <c r="E965" s="10">
        <v>2020</v>
      </c>
      <c r="F965" s="10">
        <v>2021</v>
      </c>
      <c r="G965" s="9" t="s">
        <v>46</v>
      </c>
      <c r="H965" s="11">
        <v>54154.07</v>
      </c>
      <c r="I965" s="11">
        <v>54154.07</v>
      </c>
      <c r="J965" s="9" t="s">
        <v>89</v>
      </c>
      <c r="K965" s="9" t="s">
        <v>44</v>
      </c>
    </row>
    <row r="966" spans="1:11" x14ac:dyDescent="0.25">
      <c r="A966" s="8" t="s">
        <v>80</v>
      </c>
      <c r="B966" s="9" t="s">
        <v>81</v>
      </c>
      <c r="C966" s="9" t="s">
        <v>49</v>
      </c>
      <c r="D966" s="9" t="s">
        <v>107</v>
      </c>
      <c r="E966" s="10">
        <v>2020</v>
      </c>
      <c r="F966" s="10">
        <v>2021</v>
      </c>
      <c r="G966" s="9" t="s">
        <v>42</v>
      </c>
      <c r="H966" s="11">
        <v>57914.51</v>
      </c>
      <c r="I966" s="11">
        <v>57914.51</v>
      </c>
      <c r="J966" s="9" t="s">
        <v>89</v>
      </c>
      <c r="K966" s="9" t="s">
        <v>44</v>
      </c>
    </row>
    <row r="967" spans="1:11" x14ac:dyDescent="0.25">
      <c r="A967" s="8" t="s">
        <v>80</v>
      </c>
      <c r="B967" s="9" t="s">
        <v>81</v>
      </c>
      <c r="C967" s="9" t="s">
        <v>49</v>
      </c>
      <c r="D967" s="9" t="s">
        <v>107</v>
      </c>
      <c r="E967" s="10">
        <v>2020</v>
      </c>
      <c r="F967" s="10">
        <v>2021</v>
      </c>
      <c r="G967" s="9" t="s">
        <v>45</v>
      </c>
      <c r="H967" s="11">
        <v>76.98</v>
      </c>
      <c r="I967" s="11">
        <v>76.98</v>
      </c>
      <c r="J967" s="9" t="s">
        <v>89</v>
      </c>
      <c r="K967" s="9" t="s">
        <v>44</v>
      </c>
    </row>
    <row r="968" spans="1:11" x14ac:dyDescent="0.25">
      <c r="A968" s="8" t="s">
        <v>80</v>
      </c>
      <c r="B968" s="9" t="s">
        <v>81</v>
      </c>
      <c r="C968" s="9" t="s">
        <v>49</v>
      </c>
      <c r="D968" s="9" t="s">
        <v>107</v>
      </c>
      <c r="E968" s="10">
        <v>2020</v>
      </c>
      <c r="F968" s="10">
        <v>2021</v>
      </c>
      <c r="G968" s="9" t="s">
        <v>46</v>
      </c>
      <c r="H968" s="11">
        <v>230660.52</v>
      </c>
      <c r="I968" s="11">
        <v>230660.52</v>
      </c>
      <c r="J968" s="9" t="s">
        <v>89</v>
      </c>
      <c r="K968" s="9" t="s">
        <v>44</v>
      </c>
    </row>
    <row r="969" spans="1:11" x14ac:dyDescent="0.25">
      <c r="A969" s="8" t="s">
        <v>80</v>
      </c>
      <c r="B969" s="9" t="s">
        <v>81</v>
      </c>
      <c r="C969" s="9" t="s">
        <v>49</v>
      </c>
      <c r="D969" s="9" t="s">
        <v>107</v>
      </c>
      <c r="E969" s="10">
        <v>2020</v>
      </c>
      <c r="F969" s="10">
        <v>2021</v>
      </c>
      <c r="G969" s="9" t="s">
        <v>50</v>
      </c>
      <c r="H969" s="11">
        <v>0.46</v>
      </c>
      <c r="I969" s="11">
        <v>0.46</v>
      </c>
      <c r="J969" s="9" t="s">
        <v>89</v>
      </c>
      <c r="K969" s="9" t="s">
        <v>44</v>
      </c>
    </row>
    <row r="970" spans="1:11" x14ac:dyDescent="0.25">
      <c r="A970" s="8" t="s">
        <v>82</v>
      </c>
      <c r="B970" s="9" t="s">
        <v>83</v>
      </c>
      <c r="C970" s="9" t="s">
        <v>40</v>
      </c>
      <c r="D970" s="9" t="s">
        <v>107</v>
      </c>
      <c r="E970" s="10">
        <v>2020</v>
      </c>
      <c r="F970" s="10">
        <v>2021</v>
      </c>
      <c r="G970" s="9" t="s">
        <v>42</v>
      </c>
      <c r="H970" s="11">
        <v>4339.3100000000004</v>
      </c>
      <c r="I970" s="11">
        <v>4339.3100000000004</v>
      </c>
      <c r="J970" s="9" t="s">
        <v>89</v>
      </c>
      <c r="K970" s="9" t="s">
        <v>44</v>
      </c>
    </row>
    <row r="971" spans="1:11" x14ac:dyDescent="0.25">
      <c r="A971" s="8" t="s">
        <v>82</v>
      </c>
      <c r="B971" s="9" t="s">
        <v>83</v>
      </c>
      <c r="C971" s="9" t="s">
        <v>40</v>
      </c>
      <c r="D971" s="9" t="s">
        <v>107</v>
      </c>
      <c r="E971" s="10">
        <v>2020</v>
      </c>
      <c r="F971" s="10">
        <v>2021</v>
      </c>
      <c r="G971" s="9" t="s">
        <v>45</v>
      </c>
      <c r="H971" s="11">
        <v>3.93</v>
      </c>
      <c r="I971" s="11">
        <v>3.93</v>
      </c>
      <c r="J971" s="9" t="s">
        <v>89</v>
      </c>
      <c r="K971" s="9" t="s">
        <v>44</v>
      </c>
    </row>
    <row r="972" spans="1:11" x14ac:dyDescent="0.25">
      <c r="A972" s="8" t="s">
        <v>82</v>
      </c>
      <c r="B972" s="9" t="s">
        <v>83</v>
      </c>
      <c r="C972" s="9" t="s">
        <v>40</v>
      </c>
      <c r="D972" s="9" t="s">
        <v>107</v>
      </c>
      <c r="E972" s="10">
        <v>2020</v>
      </c>
      <c r="F972" s="10">
        <v>2021</v>
      </c>
      <c r="G972" s="9" t="s">
        <v>46</v>
      </c>
      <c r="H972" s="11">
        <v>22221.279999999999</v>
      </c>
      <c r="I972" s="11">
        <v>22221.279999999999</v>
      </c>
      <c r="J972" s="9" t="s">
        <v>89</v>
      </c>
      <c r="K972" s="9" t="s">
        <v>44</v>
      </c>
    </row>
    <row r="973" spans="1:11" x14ac:dyDescent="0.25">
      <c r="A973" s="8" t="s">
        <v>84</v>
      </c>
      <c r="B973" s="9" t="s">
        <v>85</v>
      </c>
      <c r="C973" s="9" t="s">
        <v>85</v>
      </c>
      <c r="D973" s="9" t="s">
        <v>107</v>
      </c>
      <c r="E973" s="10">
        <v>2020</v>
      </c>
      <c r="F973" s="10">
        <v>2021</v>
      </c>
      <c r="G973" s="9" t="s">
        <v>42</v>
      </c>
      <c r="H973" s="11">
        <v>171568.4</v>
      </c>
      <c r="I973" s="11">
        <v>171568.4</v>
      </c>
      <c r="J973" s="9" t="s">
        <v>89</v>
      </c>
      <c r="K973" s="9" t="s">
        <v>44</v>
      </c>
    </row>
    <row r="974" spans="1:11" x14ac:dyDescent="0.25">
      <c r="A974" s="8" t="s">
        <v>84</v>
      </c>
      <c r="B974" s="9" t="s">
        <v>85</v>
      </c>
      <c r="C974" s="9" t="s">
        <v>85</v>
      </c>
      <c r="D974" s="9" t="s">
        <v>107</v>
      </c>
      <c r="E974" s="10">
        <v>2020</v>
      </c>
      <c r="F974" s="10">
        <v>2021</v>
      </c>
      <c r="G974" s="9" t="s">
        <v>45</v>
      </c>
      <c r="H974" s="11">
        <v>207.36</v>
      </c>
      <c r="I974" s="11">
        <v>207.36</v>
      </c>
      <c r="J974" s="9" t="s">
        <v>89</v>
      </c>
      <c r="K974" s="9" t="s">
        <v>44</v>
      </c>
    </row>
    <row r="975" spans="1:11" x14ac:dyDescent="0.25">
      <c r="A975" s="8" t="s">
        <v>84</v>
      </c>
      <c r="B975" s="9" t="s">
        <v>85</v>
      </c>
      <c r="C975" s="9" t="s">
        <v>85</v>
      </c>
      <c r="D975" s="9" t="s">
        <v>107</v>
      </c>
      <c r="E975" s="10">
        <v>2020</v>
      </c>
      <c r="F975" s="10">
        <v>2021</v>
      </c>
      <c r="G975" s="9" t="s">
        <v>46</v>
      </c>
      <c r="H975" s="11">
        <v>80576.289999999994</v>
      </c>
      <c r="I975" s="11">
        <v>80576.289999999994</v>
      </c>
      <c r="J975" s="9" t="s">
        <v>89</v>
      </c>
      <c r="K975" s="9" t="s">
        <v>44</v>
      </c>
    </row>
    <row r="976" spans="1:11" x14ac:dyDescent="0.25">
      <c r="A976" s="8" t="s">
        <v>84</v>
      </c>
      <c r="B976" s="9" t="s">
        <v>85</v>
      </c>
      <c r="C976" s="9" t="s">
        <v>85</v>
      </c>
      <c r="D976" s="9" t="s">
        <v>107</v>
      </c>
      <c r="E976" s="10">
        <v>2020</v>
      </c>
      <c r="F976" s="10">
        <v>2021</v>
      </c>
      <c r="G976" s="9" t="s">
        <v>50</v>
      </c>
      <c r="H976" s="11">
        <v>1910.65</v>
      </c>
      <c r="I976" s="11">
        <v>1910.65</v>
      </c>
      <c r="J976" s="9" t="s">
        <v>89</v>
      </c>
      <c r="K976" s="9" t="s">
        <v>44</v>
      </c>
    </row>
    <row r="977" spans="1:11" x14ac:dyDescent="0.25">
      <c r="A977" s="8" t="s">
        <v>86</v>
      </c>
      <c r="B977" s="9" t="s">
        <v>87</v>
      </c>
      <c r="C977" s="9" t="s">
        <v>69</v>
      </c>
      <c r="D977" s="9" t="s">
        <v>107</v>
      </c>
      <c r="E977" s="10">
        <v>2020</v>
      </c>
      <c r="F977" s="10">
        <v>2021</v>
      </c>
      <c r="G977" s="9" t="s">
        <v>42</v>
      </c>
      <c r="H977" s="11">
        <v>139456.82999999999</v>
      </c>
      <c r="I977" s="11">
        <v>139456.82999999999</v>
      </c>
      <c r="J977" s="9" t="s">
        <v>89</v>
      </c>
      <c r="K977" s="9" t="s">
        <v>44</v>
      </c>
    </row>
    <row r="978" spans="1:11" x14ac:dyDescent="0.25">
      <c r="A978" s="8" t="s">
        <v>86</v>
      </c>
      <c r="B978" s="9" t="s">
        <v>87</v>
      </c>
      <c r="C978" s="9" t="s">
        <v>69</v>
      </c>
      <c r="D978" s="9" t="s">
        <v>107</v>
      </c>
      <c r="E978" s="10">
        <v>2020</v>
      </c>
      <c r="F978" s="10">
        <v>2021</v>
      </c>
      <c r="G978" s="9" t="s">
        <v>45</v>
      </c>
      <c r="H978" s="11">
        <v>99.23</v>
      </c>
      <c r="I978" s="11">
        <v>99.23</v>
      </c>
      <c r="J978" s="9" t="s">
        <v>89</v>
      </c>
      <c r="K978" s="9" t="s">
        <v>44</v>
      </c>
    </row>
    <row r="979" spans="1:11" x14ac:dyDescent="0.25">
      <c r="A979" s="8" t="s">
        <v>86</v>
      </c>
      <c r="B979" s="9" t="s">
        <v>87</v>
      </c>
      <c r="C979" s="9" t="s">
        <v>69</v>
      </c>
      <c r="D979" s="9" t="s">
        <v>107</v>
      </c>
      <c r="E979" s="10">
        <v>2020</v>
      </c>
      <c r="F979" s="10">
        <v>2021</v>
      </c>
      <c r="G979" s="9" t="s">
        <v>46</v>
      </c>
      <c r="H979" s="11">
        <v>21305.51</v>
      </c>
      <c r="I979" s="11">
        <v>21305.51</v>
      </c>
      <c r="J979" s="9" t="s">
        <v>89</v>
      </c>
      <c r="K979" s="9" t="s">
        <v>44</v>
      </c>
    </row>
    <row r="980" spans="1:11" x14ac:dyDescent="0.25">
      <c r="A980" s="8" t="s">
        <v>86</v>
      </c>
      <c r="B980" s="9" t="s">
        <v>87</v>
      </c>
      <c r="C980" s="9" t="s">
        <v>69</v>
      </c>
      <c r="D980" s="9" t="s">
        <v>107</v>
      </c>
      <c r="E980" s="10">
        <v>2020</v>
      </c>
      <c r="F980" s="10">
        <v>2021</v>
      </c>
      <c r="G980" s="9" t="s">
        <v>50</v>
      </c>
      <c r="H980" s="11">
        <v>4582.7299999999996</v>
      </c>
      <c r="I980" s="11">
        <v>4582.7299999999996</v>
      </c>
      <c r="J980" s="9" t="s">
        <v>89</v>
      </c>
      <c r="K980" s="9" t="s">
        <v>44</v>
      </c>
    </row>
    <row r="981" spans="1:11" x14ac:dyDescent="0.25">
      <c r="A981" s="8" t="s">
        <v>38</v>
      </c>
      <c r="B981" s="9" t="s">
        <v>39</v>
      </c>
      <c r="C981" s="9" t="s">
        <v>40</v>
      </c>
      <c r="D981" s="9" t="s">
        <v>108</v>
      </c>
      <c r="E981" s="10">
        <v>2021</v>
      </c>
      <c r="F981" s="10">
        <v>2022</v>
      </c>
      <c r="G981" s="9" t="s">
        <v>42</v>
      </c>
      <c r="H981" s="11">
        <v>13601.07</v>
      </c>
      <c r="I981" s="11">
        <v>13601.07</v>
      </c>
      <c r="J981" s="9" t="s">
        <v>89</v>
      </c>
      <c r="K981" s="9" t="s">
        <v>44</v>
      </c>
    </row>
    <row r="982" spans="1:11" x14ac:dyDescent="0.25">
      <c r="A982" s="8" t="s">
        <v>38</v>
      </c>
      <c r="B982" s="9" t="s">
        <v>39</v>
      </c>
      <c r="C982" s="9" t="s">
        <v>40</v>
      </c>
      <c r="D982" s="9" t="s">
        <v>108</v>
      </c>
      <c r="E982" s="10">
        <v>2021</v>
      </c>
      <c r="F982" s="10">
        <v>2022</v>
      </c>
      <c r="G982" s="9" t="s">
        <v>45</v>
      </c>
      <c r="H982" s="11">
        <v>5.77</v>
      </c>
      <c r="I982" s="11">
        <v>5.77</v>
      </c>
      <c r="J982" s="9" t="s">
        <v>89</v>
      </c>
      <c r="K982" s="9" t="s">
        <v>44</v>
      </c>
    </row>
    <row r="983" spans="1:11" x14ac:dyDescent="0.25">
      <c r="A983" s="8" t="s">
        <v>38</v>
      </c>
      <c r="B983" s="9" t="s">
        <v>39</v>
      </c>
      <c r="C983" s="9" t="s">
        <v>40</v>
      </c>
      <c r="D983" s="9" t="s">
        <v>108</v>
      </c>
      <c r="E983" s="10">
        <v>2021</v>
      </c>
      <c r="F983" s="10">
        <v>2022</v>
      </c>
      <c r="G983" s="9" t="s">
        <v>46</v>
      </c>
      <c r="H983" s="11">
        <v>16056.07</v>
      </c>
      <c r="I983" s="11">
        <v>16056.07</v>
      </c>
      <c r="J983" s="9" t="s">
        <v>89</v>
      </c>
      <c r="K983" s="9" t="s">
        <v>44</v>
      </c>
    </row>
    <row r="984" spans="1:11" x14ac:dyDescent="0.25">
      <c r="A984" s="8" t="s">
        <v>47</v>
      </c>
      <c r="B984" s="9" t="s">
        <v>48</v>
      </c>
      <c r="C984" s="9" t="s">
        <v>49</v>
      </c>
      <c r="D984" s="9" t="s">
        <v>108</v>
      </c>
      <c r="E984" s="10">
        <v>2021</v>
      </c>
      <c r="F984" s="10">
        <v>2022</v>
      </c>
      <c r="G984" s="9" t="s">
        <v>42</v>
      </c>
      <c r="H984" s="11">
        <v>15379.16</v>
      </c>
      <c r="I984" s="11">
        <v>15379.16</v>
      </c>
      <c r="J984" s="9" t="s">
        <v>89</v>
      </c>
      <c r="K984" s="9" t="s">
        <v>44</v>
      </c>
    </row>
    <row r="985" spans="1:11" x14ac:dyDescent="0.25">
      <c r="A985" s="8" t="s">
        <v>47</v>
      </c>
      <c r="B985" s="9" t="s">
        <v>48</v>
      </c>
      <c r="C985" s="9" t="s">
        <v>49</v>
      </c>
      <c r="D985" s="9" t="s">
        <v>108</v>
      </c>
      <c r="E985" s="10">
        <v>2021</v>
      </c>
      <c r="F985" s="10">
        <v>2022</v>
      </c>
      <c r="G985" s="9" t="s">
        <v>45</v>
      </c>
      <c r="H985" s="11">
        <v>121.26</v>
      </c>
      <c r="I985" s="11">
        <v>121.26</v>
      </c>
      <c r="J985" s="9" t="s">
        <v>89</v>
      </c>
      <c r="K985" s="9" t="s">
        <v>44</v>
      </c>
    </row>
    <row r="986" spans="1:11" x14ac:dyDescent="0.25">
      <c r="A986" s="8" t="s">
        <v>47</v>
      </c>
      <c r="B986" s="9" t="s">
        <v>48</v>
      </c>
      <c r="C986" s="9" t="s">
        <v>49</v>
      </c>
      <c r="D986" s="9" t="s">
        <v>108</v>
      </c>
      <c r="E986" s="10">
        <v>2021</v>
      </c>
      <c r="F986" s="10">
        <v>2022</v>
      </c>
      <c r="G986" s="9" t="s">
        <v>46</v>
      </c>
      <c r="H986" s="11">
        <v>37740.519999999997</v>
      </c>
      <c r="I986" s="11">
        <v>37740.519999999997</v>
      </c>
      <c r="J986" s="9" t="s">
        <v>89</v>
      </c>
      <c r="K986" s="9" t="s">
        <v>44</v>
      </c>
    </row>
    <row r="987" spans="1:11" x14ac:dyDescent="0.25">
      <c r="A987" s="8" t="s">
        <v>47</v>
      </c>
      <c r="B987" s="9" t="s">
        <v>48</v>
      </c>
      <c r="C987" s="9" t="s">
        <v>49</v>
      </c>
      <c r="D987" s="9" t="s">
        <v>108</v>
      </c>
      <c r="E987" s="10">
        <v>2021</v>
      </c>
      <c r="F987" s="10">
        <v>2022</v>
      </c>
      <c r="G987" s="9" t="s">
        <v>50</v>
      </c>
      <c r="H987" s="11">
        <v>39.64</v>
      </c>
      <c r="I987" s="11">
        <v>39.64</v>
      </c>
      <c r="J987" s="9" t="s">
        <v>89</v>
      </c>
      <c r="K987" s="9" t="s">
        <v>44</v>
      </c>
    </row>
    <row r="988" spans="1:11" x14ac:dyDescent="0.25">
      <c r="A988" s="8" t="s">
        <v>51</v>
      </c>
      <c r="B988" s="9" t="s">
        <v>52</v>
      </c>
      <c r="C988" s="9" t="s">
        <v>53</v>
      </c>
      <c r="D988" s="9" t="s">
        <v>108</v>
      </c>
      <c r="E988" s="10">
        <v>2021</v>
      </c>
      <c r="F988" s="10">
        <v>2022</v>
      </c>
      <c r="G988" s="9" t="s">
        <v>42</v>
      </c>
      <c r="H988" s="11">
        <v>1886.61</v>
      </c>
      <c r="I988" s="11">
        <v>1886.61</v>
      </c>
      <c r="J988" s="9" t="s">
        <v>89</v>
      </c>
      <c r="K988" s="9" t="s">
        <v>44</v>
      </c>
    </row>
    <row r="989" spans="1:11" x14ac:dyDescent="0.25">
      <c r="A989" s="8" t="s">
        <v>51</v>
      </c>
      <c r="B989" s="9" t="s">
        <v>52</v>
      </c>
      <c r="C989" s="9" t="s">
        <v>53</v>
      </c>
      <c r="D989" s="9" t="s">
        <v>108</v>
      </c>
      <c r="E989" s="10">
        <v>2021</v>
      </c>
      <c r="F989" s="10">
        <v>2022</v>
      </c>
      <c r="G989" s="9" t="s">
        <v>45</v>
      </c>
      <c r="H989" s="11">
        <v>14.58</v>
      </c>
      <c r="I989" s="11">
        <v>14.58</v>
      </c>
      <c r="J989" s="9" t="s">
        <v>89</v>
      </c>
      <c r="K989" s="9" t="s">
        <v>44</v>
      </c>
    </row>
    <row r="990" spans="1:11" x14ac:dyDescent="0.25">
      <c r="A990" s="8" t="s">
        <v>51</v>
      </c>
      <c r="B990" s="9" t="s">
        <v>52</v>
      </c>
      <c r="C990" s="9" t="s">
        <v>53</v>
      </c>
      <c r="D990" s="9" t="s">
        <v>108</v>
      </c>
      <c r="E990" s="10">
        <v>2021</v>
      </c>
      <c r="F990" s="10">
        <v>2022</v>
      </c>
      <c r="G990" s="9" t="s">
        <v>46</v>
      </c>
      <c r="H990" s="11">
        <v>72161.95</v>
      </c>
      <c r="I990" s="11">
        <v>72161.95</v>
      </c>
      <c r="J990" s="9" t="s">
        <v>89</v>
      </c>
      <c r="K990" s="9" t="s">
        <v>44</v>
      </c>
    </row>
    <row r="991" spans="1:11" x14ac:dyDescent="0.25">
      <c r="A991" s="8" t="s">
        <v>51</v>
      </c>
      <c r="B991" s="9" t="s">
        <v>52</v>
      </c>
      <c r="C991" s="9" t="s">
        <v>53</v>
      </c>
      <c r="D991" s="9" t="s">
        <v>108</v>
      </c>
      <c r="E991" s="10">
        <v>2021</v>
      </c>
      <c r="F991" s="10">
        <v>2022</v>
      </c>
      <c r="G991" s="9" t="s">
        <v>50</v>
      </c>
      <c r="H991" s="11">
        <v>1.95</v>
      </c>
      <c r="I991" s="11">
        <v>1.95</v>
      </c>
      <c r="J991" s="9" t="s">
        <v>89</v>
      </c>
      <c r="K991" s="9" t="s">
        <v>44</v>
      </c>
    </row>
    <row r="992" spans="1:11" x14ac:dyDescent="0.25">
      <c r="A992" s="8" t="s">
        <v>54</v>
      </c>
      <c r="B992" s="9" t="s">
        <v>55</v>
      </c>
      <c r="C992" s="9" t="s">
        <v>49</v>
      </c>
      <c r="D992" s="9" t="s">
        <v>108</v>
      </c>
      <c r="E992" s="10">
        <v>2021</v>
      </c>
      <c r="F992" s="10">
        <v>2022</v>
      </c>
      <c r="G992" s="9" t="s">
        <v>42</v>
      </c>
      <c r="H992" s="11">
        <v>3954.94</v>
      </c>
      <c r="I992" s="11">
        <v>3954.94</v>
      </c>
      <c r="J992" s="9" t="s">
        <v>89</v>
      </c>
      <c r="K992" s="9" t="s">
        <v>44</v>
      </c>
    </row>
    <row r="993" spans="1:11" x14ac:dyDescent="0.25">
      <c r="A993" s="8" t="s">
        <v>54</v>
      </c>
      <c r="B993" s="9" t="s">
        <v>55</v>
      </c>
      <c r="C993" s="9" t="s">
        <v>49</v>
      </c>
      <c r="D993" s="9" t="s">
        <v>108</v>
      </c>
      <c r="E993" s="10">
        <v>2021</v>
      </c>
      <c r="F993" s="10">
        <v>2022</v>
      </c>
      <c r="G993" s="9" t="s">
        <v>45</v>
      </c>
      <c r="H993" s="11">
        <v>28.71</v>
      </c>
      <c r="I993" s="11">
        <v>28.71</v>
      </c>
      <c r="J993" s="9" t="s">
        <v>89</v>
      </c>
      <c r="K993" s="9" t="s">
        <v>44</v>
      </c>
    </row>
    <row r="994" spans="1:11" x14ac:dyDescent="0.25">
      <c r="A994" s="8" t="s">
        <v>54</v>
      </c>
      <c r="B994" s="9" t="s">
        <v>55</v>
      </c>
      <c r="C994" s="9" t="s">
        <v>49</v>
      </c>
      <c r="D994" s="9" t="s">
        <v>108</v>
      </c>
      <c r="E994" s="10">
        <v>2021</v>
      </c>
      <c r="F994" s="10">
        <v>2022</v>
      </c>
      <c r="G994" s="9" t="s">
        <v>46</v>
      </c>
      <c r="H994" s="11">
        <v>34378.01</v>
      </c>
      <c r="I994" s="11">
        <v>34378.01</v>
      </c>
      <c r="J994" s="9" t="s">
        <v>89</v>
      </c>
      <c r="K994" s="9" t="s">
        <v>44</v>
      </c>
    </row>
    <row r="995" spans="1:11" x14ac:dyDescent="0.25">
      <c r="A995" s="8" t="s">
        <v>54</v>
      </c>
      <c r="B995" s="9" t="s">
        <v>55</v>
      </c>
      <c r="C995" s="9" t="s">
        <v>49</v>
      </c>
      <c r="D995" s="9" t="s">
        <v>108</v>
      </c>
      <c r="E995" s="10">
        <v>2021</v>
      </c>
      <c r="F995" s="10">
        <v>2022</v>
      </c>
      <c r="G995" s="9" t="s">
        <v>50</v>
      </c>
      <c r="H995" s="11">
        <v>2.35</v>
      </c>
      <c r="I995" s="11">
        <v>2.35</v>
      </c>
      <c r="J995" s="9" t="s">
        <v>89</v>
      </c>
      <c r="K995" s="9" t="s">
        <v>44</v>
      </c>
    </row>
    <row r="996" spans="1:11" x14ac:dyDescent="0.25">
      <c r="A996" s="8" t="s">
        <v>56</v>
      </c>
      <c r="B996" s="9" t="s">
        <v>57</v>
      </c>
      <c r="C996" s="9" t="s">
        <v>40</v>
      </c>
      <c r="D996" s="9" t="s">
        <v>108</v>
      </c>
      <c r="E996" s="10">
        <v>2021</v>
      </c>
      <c r="F996" s="10">
        <v>2022</v>
      </c>
      <c r="G996" s="9" t="s">
        <v>42</v>
      </c>
      <c r="H996" s="11">
        <v>12169.11</v>
      </c>
      <c r="I996" s="11">
        <v>12169.11</v>
      </c>
      <c r="J996" s="9" t="s">
        <v>89</v>
      </c>
      <c r="K996" s="9" t="s">
        <v>44</v>
      </c>
    </row>
    <row r="997" spans="1:11" x14ac:dyDescent="0.25">
      <c r="A997" s="8" t="s">
        <v>56</v>
      </c>
      <c r="B997" s="9" t="s">
        <v>57</v>
      </c>
      <c r="C997" s="9" t="s">
        <v>40</v>
      </c>
      <c r="D997" s="9" t="s">
        <v>108</v>
      </c>
      <c r="E997" s="10">
        <v>2021</v>
      </c>
      <c r="F997" s="10">
        <v>2022</v>
      </c>
      <c r="G997" s="9" t="s">
        <v>45</v>
      </c>
      <c r="H997" s="11">
        <v>7.52</v>
      </c>
      <c r="I997" s="11">
        <v>7.52</v>
      </c>
      <c r="J997" s="9" t="s">
        <v>89</v>
      </c>
      <c r="K997" s="9" t="s">
        <v>44</v>
      </c>
    </row>
    <row r="998" spans="1:11" x14ac:dyDescent="0.25">
      <c r="A998" s="8" t="s">
        <v>56</v>
      </c>
      <c r="B998" s="9" t="s">
        <v>57</v>
      </c>
      <c r="C998" s="9" t="s">
        <v>40</v>
      </c>
      <c r="D998" s="9" t="s">
        <v>108</v>
      </c>
      <c r="E998" s="10">
        <v>2021</v>
      </c>
      <c r="F998" s="10">
        <v>2022</v>
      </c>
      <c r="G998" s="9" t="s">
        <v>46</v>
      </c>
      <c r="H998" s="11">
        <v>24268.639999999999</v>
      </c>
      <c r="I998" s="11">
        <v>24268.639999999999</v>
      </c>
      <c r="J998" s="9" t="s">
        <v>89</v>
      </c>
      <c r="K998" s="9" t="s">
        <v>44</v>
      </c>
    </row>
    <row r="999" spans="1:11" x14ac:dyDescent="0.25">
      <c r="A999" s="8" t="s">
        <v>58</v>
      </c>
      <c r="B999" s="9" t="s">
        <v>59</v>
      </c>
      <c r="C999" s="9" t="s">
        <v>49</v>
      </c>
      <c r="D999" s="9" t="s">
        <v>108</v>
      </c>
      <c r="E999" s="10">
        <v>2021</v>
      </c>
      <c r="F999" s="10">
        <v>2022</v>
      </c>
      <c r="G999" s="9" t="s">
        <v>42</v>
      </c>
      <c r="H999" s="11">
        <v>18679.47</v>
      </c>
      <c r="I999" s="11">
        <v>18679.47</v>
      </c>
      <c r="J999" s="9" t="s">
        <v>89</v>
      </c>
      <c r="K999" s="9" t="s">
        <v>44</v>
      </c>
    </row>
    <row r="1000" spans="1:11" x14ac:dyDescent="0.25">
      <c r="A1000" s="8" t="s">
        <v>58</v>
      </c>
      <c r="B1000" s="9" t="s">
        <v>59</v>
      </c>
      <c r="C1000" s="9" t="s">
        <v>49</v>
      </c>
      <c r="D1000" s="9" t="s">
        <v>108</v>
      </c>
      <c r="E1000" s="10">
        <v>2021</v>
      </c>
      <c r="F1000" s="10">
        <v>2022</v>
      </c>
      <c r="G1000" s="9" t="s">
        <v>45</v>
      </c>
      <c r="H1000" s="11">
        <v>103.95</v>
      </c>
      <c r="I1000" s="11">
        <v>103.95</v>
      </c>
      <c r="J1000" s="9" t="s">
        <v>89</v>
      </c>
      <c r="K1000" s="9" t="s">
        <v>44</v>
      </c>
    </row>
    <row r="1001" spans="1:11" x14ac:dyDescent="0.25">
      <c r="A1001" s="8" t="s">
        <v>58</v>
      </c>
      <c r="B1001" s="9" t="s">
        <v>59</v>
      </c>
      <c r="C1001" s="9" t="s">
        <v>49</v>
      </c>
      <c r="D1001" s="9" t="s">
        <v>108</v>
      </c>
      <c r="E1001" s="10">
        <v>2021</v>
      </c>
      <c r="F1001" s="10">
        <v>2022</v>
      </c>
      <c r="G1001" s="9" t="s">
        <v>46</v>
      </c>
      <c r="H1001" s="11">
        <v>51623.24</v>
      </c>
      <c r="I1001" s="11">
        <v>51623.24</v>
      </c>
      <c r="J1001" s="9" t="s">
        <v>89</v>
      </c>
      <c r="K1001" s="9" t="s">
        <v>44</v>
      </c>
    </row>
    <row r="1002" spans="1:11" x14ac:dyDescent="0.25">
      <c r="A1002" s="8" t="s">
        <v>58</v>
      </c>
      <c r="B1002" s="9" t="s">
        <v>59</v>
      </c>
      <c r="C1002" s="9" t="s">
        <v>49</v>
      </c>
      <c r="D1002" s="9" t="s">
        <v>108</v>
      </c>
      <c r="E1002" s="10">
        <v>2021</v>
      </c>
      <c r="F1002" s="10">
        <v>2022</v>
      </c>
      <c r="G1002" s="9" t="s">
        <v>50</v>
      </c>
      <c r="H1002" s="11">
        <v>56.12</v>
      </c>
      <c r="I1002" s="11">
        <v>56.12</v>
      </c>
      <c r="J1002" s="9" t="s">
        <v>89</v>
      </c>
      <c r="K1002" s="9" t="s">
        <v>44</v>
      </c>
    </row>
    <row r="1003" spans="1:11" x14ac:dyDescent="0.25">
      <c r="A1003" s="8" t="s">
        <v>60</v>
      </c>
      <c r="B1003" s="9" t="s">
        <v>61</v>
      </c>
      <c r="C1003" s="9" t="s">
        <v>40</v>
      </c>
      <c r="D1003" s="9" t="s">
        <v>108</v>
      </c>
      <c r="E1003" s="10">
        <v>2021</v>
      </c>
      <c r="F1003" s="10">
        <v>2022</v>
      </c>
      <c r="G1003" s="9" t="s">
        <v>42</v>
      </c>
      <c r="H1003" s="11">
        <v>137455.69</v>
      </c>
      <c r="I1003" s="11">
        <v>137455.69</v>
      </c>
      <c r="J1003" s="9" t="s">
        <v>89</v>
      </c>
      <c r="K1003" s="9" t="s">
        <v>44</v>
      </c>
    </row>
    <row r="1004" spans="1:11" x14ac:dyDescent="0.25">
      <c r="A1004" s="8" t="s">
        <v>60</v>
      </c>
      <c r="B1004" s="9" t="s">
        <v>61</v>
      </c>
      <c r="C1004" s="9" t="s">
        <v>40</v>
      </c>
      <c r="D1004" s="9" t="s">
        <v>108</v>
      </c>
      <c r="E1004" s="10">
        <v>2021</v>
      </c>
      <c r="F1004" s="10">
        <v>2022</v>
      </c>
      <c r="G1004" s="9" t="s">
        <v>45</v>
      </c>
      <c r="H1004" s="11">
        <v>579.52</v>
      </c>
      <c r="I1004" s="11">
        <v>579.52</v>
      </c>
      <c r="J1004" s="9" t="s">
        <v>89</v>
      </c>
      <c r="K1004" s="9" t="s">
        <v>44</v>
      </c>
    </row>
    <row r="1005" spans="1:11" x14ac:dyDescent="0.25">
      <c r="A1005" s="8" t="s">
        <v>60</v>
      </c>
      <c r="B1005" s="9" t="s">
        <v>61</v>
      </c>
      <c r="C1005" s="9" t="s">
        <v>40</v>
      </c>
      <c r="D1005" s="9" t="s">
        <v>108</v>
      </c>
      <c r="E1005" s="10">
        <v>2021</v>
      </c>
      <c r="F1005" s="10">
        <v>2022</v>
      </c>
      <c r="G1005" s="9" t="s">
        <v>46</v>
      </c>
      <c r="H1005" s="11">
        <v>55711.43</v>
      </c>
      <c r="I1005" s="11">
        <v>55711.43</v>
      </c>
      <c r="J1005" s="9" t="s">
        <v>89</v>
      </c>
      <c r="K1005" s="9" t="s">
        <v>44</v>
      </c>
    </row>
    <row r="1006" spans="1:11" x14ac:dyDescent="0.25">
      <c r="A1006" s="8" t="s">
        <v>60</v>
      </c>
      <c r="B1006" s="9" t="s">
        <v>61</v>
      </c>
      <c r="C1006" s="9" t="s">
        <v>40</v>
      </c>
      <c r="D1006" s="9" t="s">
        <v>108</v>
      </c>
      <c r="E1006" s="10">
        <v>2021</v>
      </c>
      <c r="F1006" s="10">
        <v>2022</v>
      </c>
      <c r="G1006" s="9" t="s">
        <v>50</v>
      </c>
      <c r="H1006" s="11">
        <v>1175.47</v>
      </c>
      <c r="I1006" s="11">
        <v>1175.47</v>
      </c>
      <c r="J1006" s="9" t="s">
        <v>89</v>
      </c>
      <c r="K1006" s="9" t="s">
        <v>44</v>
      </c>
    </row>
    <row r="1007" spans="1:11" x14ac:dyDescent="0.25">
      <c r="A1007" s="8" t="s">
        <v>62</v>
      </c>
      <c r="B1007" s="9" t="s">
        <v>63</v>
      </c>
      <c r="C1007" s="9" t="s">
        <v>40</v>
      </c>
      <c r="D1007" s="9" t="s">
        <v>108</v>
      </c>
      <c r="E1007" s="10">
        <v>2021</v>
      </c>
      <c r="F1007" s="10">
        <v>2022</v>
      </c>
      <c r="G1007" s="9" t="s">
        <v>42</v>
      </c>
      <c r="H1007" s="11">
        <v>90452.74</v>
      </c>
      <c r="I1007" s="11">
        <v>90452.74</v>
      </c>
      <c r="J1007" s="9" t="s">
        <v>89</v>
      </c>
      <c r="K1007" s="9" t="s">
        <v>44</v>
      </c>
    </row>
    <row r="1008" spans="1:11" x14ac:dyDescent="0.25">
      <c r="A1008" s="8" t="s">
        <v>62</v>
      </c>
      <c r="B1008" s="9" t="s">
        <v>63</v>
      </c>
      <c r="C1008" s="9" t="s">
        <v>40</v>
      </c>
      <c r="D1008" s="9" t="s">
        <v>108</v>
      </c>
      <c r="E1008" s="10">
        <v>2021</v>
      </c>
      <c r="F1008" s="10">
        <v>2022</v>
      </c>
      <c r="G1008" s="9" t="s">
        <v>45</v>
      </c>
      <c r="H1008" s="11">
        <v>358.51</v>
      </c>
      <c r="I1008" s="11">
        <v>358.51</v>
      </c>
      <c r="J1008" s="9" t="s">
        <v>89</v>
      </c>
      <c r="K1008" s="9" t="s">
        <v>44</v>
      </c>
    </row>
    <row r="1009" spans="1:11" x14ac:dyDescent="0.25">
      <c r="A1009" s="8" t="s">
        <v>62</v>
      </c>
      <c r="B1009" s="9" t="s">
        <v>63</v>
      </c>
      <c r="C1009" s="9" t="s">
        <v>40</v>
      </c>
      <c r="D1009" s="9" t="s">
        <v>108</v>
      </c>
      <c r="E1009" s="10">
        <v>2021</v>
      </c>
      <c r="F1009" s="10">
        <v>2022</v>
      </c>
      <c r="G1009" s="9" t="s">
        <v>46</v>
      </c>
      <c r="H1009" s="11">
        <v>46866.9</v>
      </c>
      <c r="I1009" s="11">
        <v>46866.9</v>
      </c>
      <c r="J1009" s="9" t="s">
        <v>89</v>
      </c>
      <c r="K1009" s="9" t="s">
        <v>44</v>
      </c>
    </row>
    <row r="1010" spans="1:11" x14ac:dyDescent="0.25">
      <c r="A1010" s="8" t="s">
        <v>62</v>
      </c>
      <c r="B1010" s="9" t="s">
        <v>63</v>
      </c>
      <c r="C1010" s="9" t="s">
        <v>40</v>
      </c>
      <c r="D1010" s="9" t="s">
        <v>108</v>
      </c>
      <c r="E1010" s="10">
        <v>2021</v>
      </c>
      <c r="F1010" s="10">
        <v>2022</v>
      </c>
      <c r="G1010" s="9" t="s">
        <v>50</v>
      </c>
      <c r="H1010" s="11">
        <v>547.29999999999995</v>
      </c>
      <c r="I1010" s="11">
        <v>547.29999999999995</v>
      </c>
      <c r="J1010" s="9" t="s">
        <v>89</v>
      </c>
      <c r="K1010" s="9" t="s">
        <v>44</v>
      </c>
    </row>
    <row r="1011" spans="1:11" x14ac:dyDescent="0.25">
      <c r="A1011" s="8" t="s">
        <v>65</v>
      </c>
      <c r="B1011" s="9" t="s">
        <v>66</v>
      </c>
      <c r="C1011" s="9" t="s">
        <v>40</v>
      </c>
      <c r="D1011" s="9" t="s">
        <v>108</v>
      </c>
      <c r="E1011" s="10">
        <v>2021</v>
      </c>
      <c r="F1011" s="10">
        <v>2022</v>
      </c>
      <c r="G1011" s="9" t="s">
        <v>42</v>
      </c>
      <c r="H1011" s="11">
        <v>1491.96</v>
      </c>
      <c r="I1011" s="11">
        <v>1491.96</v>
      </c>
      <c r="J1011" s="9" t="s">
        <v>89</v>
      </c>
      <c r="K1011" s="9" t="s">
        <v>44</v>
      </c>
    </row>
    <row r="1012" spans="1:11" x14ac:dyDescent="0.25">
      <c r="A1012" s="8" t="s">
        <v>65</v>
      </c>
      <c r="B1012" s="9" t="s">
        <v>66</v>
      </c>
      <c r="C1012" s="9" t="s">
        <v>40</v>
      </c>
      <c r="D1012" s="9" t="s">
        <v>108</v>
      </c>
      <c r="E1012" s="10">
        <v>2021</v>
      </c>
      <c r="F1012" s="10">
        <v>2022</v>
      </c>
      <c r="G1012" s="9" t="s">
        <v>45</v>
      </c>
      <c r="H1012" s="11">
        <v>8.09</v>
      </c>
      <c r="I1012" s="11">
        <v>8.09</v>
      </c>
      <c r="J1012" s="9" t="s">
        <v>89</v>
      </c>
      <c r="K1012" s="9" t="s">
        <v>44</v>
      </c>
    </row>
    <row r="1013" spans="1:11" x14ac:dyDescent="0.25">
      <c r="A1013" s="8" t="s">
        <v>65</v>
      </c>
      <c r="B1013" s="9" t="s">
        <v>66</v>
      </c>
      <c r="C1013" s="9" t="s">
        <v>40</v>
      </c>
      <c r="D1013" s="9" t="s">
        <v>108</v>
      </c>
      <c r="E1013" s="10">
        <v>2021</v>
      </c>
      <c r="F1013" s="10">
        <v>2022</v>
      </c>
      <c r="G1013" s="9" t="s">
        <v>46</v>
      </c>
      <c r="H1013" s="11">
        <v>7832.13</v>
      </c>
      <c r="I1013" s="11">
        <v>7832.13</v>
      </c>
      <c r="J1013" s="9" t="s">
        <v>89</v>
      </c>
      <c r="K1013" s="9" t="s">
        <v>44</v>
      </c>
    </row>
    <row r="1014" spans="1:11" x14ac:dyDescent="0.25">
      <c r="A1014" s="8" t="s">
        <v>67</v>
      </c>
      <c r="B1014" s="9" t="s">
        <v>68</v>
      </c>
      <c r="C1014" s="9" t="s">
        <v>69</v>
      </c>
      <c r="D1014" s="9" t="s">
        <v>108</v>
      </c>
      <c r="E1014" s="10">
        <v>2021</v>
      </c>
      <c r="F1014" s="10">
        <v>2022</v>
      </c>
      <c r="G1014" s="9" t="s">
        <v>42</v>
      </c>
      <c r="H1014" s="11">
        <v>95146.6</v>
      </c>
      <c r="I1014" s="11">
        <v>95146.6</v>
      </c>
      <c r="J1014" s="9" t="s">
        <v>89</v>
      </c>
      <c r="K1014" s="9" t="s">
        <v>44</v>
      </c>
    </row>
    <row r="1015" spans="1:11" x14ac:dyDescent="0.25">
      <c r="A1015" s="8" t="s">
        <v>67</v>
      </c>
      <c r="B1015" s="9" t="s">
        <v>68</v>
      </c>
      <c r="C1015" s="9" t="s">
        <v>69</v>
      </c>
      <c r="D1015" s="9" t="s">
        <v>108</v>
      </c>
      <c r="E1015" s="10">
        <v>2021</v>
      </c>
      <c r="F1015" s="10">
        <v>2022</v>
      </c>
      <c r="G1015" s="9" t="s">
        <v>45</v>
      </c>
      <c r="H1015" s="11">
        <v>187.89</v>
      </c>
      <c r="I1015" s="11">
        <v>187.89</v>
      </c>
      <c r="J1015" s="9" t="s">
        <v>89</v>
      </c>
      <c r="K1015" s="9" t="s">
        <v>44</v>
      </c>
    </row>
    <row r="1016" spans="1:11" x14ac:dyDescent="0.25">
      <c r="A1016" s="8" t="s">
        <v>67</v>
      </c>
      <c r="B1016" s="9" t="s">
        <v>68</v>
      </c>
      <c r="C1016" s="9" t="s">
        <v>69</v>
      </c>
      <c r="D1016" s="9" t="s">
        <v>108</v>
      </c>
      <c r="E1016" s="10">
        <v>2021</v>
      </c>
      <c r="F1016" s="10">
        <v>2022</v>
      </c>
      <c r="G1016" s="9" t="s">
        <v>46</v>
      </c>
      <c r="H1016" s="11">
        <v>25727.200000000001</v>
      </c>
      <c r="I1016" s="11">
        <v>25727.200000000001</v>
      </c>
      <c r="J1016" s="9" t="s">
        <v>89</v>
      </c>
      <c r="K1016" s="9" t="s">
        <v>44</v>
      </c>
    </row>
    <row r="1017" spans="1:11" x14ac:dyDescent="0.25">
      <c r="A1017" s="8" t="s">
        <v>67</v>
      </c>
      <c r="B1017" s="9" t="s">
        <v>68</v>
      </c>
      <c r="C1017" s="9" t="s">
        <v>69</v>
      </c>
      <c r="D1017" s="9" t="s">
        <v>108</v>
      </c>
      <c r="E1017" s="10">
        <v>2021</v>
      </c>
      <c r="F1017" s="10">
        <v>2022</v>
      </c>
      <c r="G1017" s="9" t="s">
        <v>50</v>
      </c>
      <c r="H1017" s="11">
        <v>3832.02</v>
      </c>
      <c r="I1017" s="11">
        <v>3832.02</v>
      </c>
      <c r="J1017" s="9" t="s">
        <v>89</v>
      </c>
      <c r="K1017" s="9" t="s">
        <v>44</v>
      </c>
    </row>
    <row r="1018" spans="1:11" x14ac:dyDescent="0.25">
      <c r="A1018" s="8" t="s">
        <v>70</v>
      </c>
      <c r="B1018" s="9" t="s">
        <v>71</v>
      </c>
      <c r="C1018" s="9" t="s">
        <v>49</v>
      </c>
      <c r="D1018" s="9" t="s">
        <v>108</v>
      </c>
      <c r="E1018" s="10">
        <v>2021</v>
      </c>
      <c r="F1018" s="10">
        <v>2022</v>
      </c>
      <c r="G1018" s="9" t="s">
        <v>42</v>
      </c>
      <c r="H1018" s="11">
        <v>65298.18</v>
      </c>
      <c r="I1018" s="11">
        <v>65298.18</v>
      </c>
      <c r="J1018" s="9" t="s">
        <v>89</v>
      </c>
      <c r="K1018" s="9" t="s">
        <v>44</v>
      </c>
    </row>
    <row r="1019" spans="1:11" x14ac:dyDescent="0.25">
      <c r="A1019" s="8" t="s">
        <v>70</v>
      </c>
      <c r="B1019" s="9" t="s">
        <v>71</v>
      </c>
      <c r="C1019" s="9" t="s">
        <v>49</v>
      </c>
      <c r="D1019" s="9" t="s">
        <v>108</v>
      </c>
      <c r="E1019" s="10">
        <v>2021</v>
      </c>
      <c r="F1019" s="10">
        <v>2022</v>
      </c>
      <c r="G1019" s="9" t="s">
        <v>45</v>
      </c>
      <c r="H1019" s="11">
        <v>277.89999999999998</v>
      </c>
      <c r="I1019" s="11">
        <v>277.89999999999998</v>
      </c>
      <c r="J1019" s="9" t="s">
        <v>89</v>
      </c>
      <c r="K1019" s="9" t="s">
        <v>44</v>
      </c>
    </row>
    <row r="1020" spans="1:11" x14ac:dyDescent="0.25">
      <c r="A1020" s="8" t="s">
        <v>70</v>
      </c>
      <c r="B1020" s="9" t="s">
        <v>71</v>
      </c>
      <c r="C1020" s="9" t="s">
        <v>49</v>
      </c>
      <c r="D1020" s="9" t="s">
        <v>108</v>
      </c>
      <c r="E1020" s="10">
        <v>2021</v>
      </c>
      <c r="F1020" s="10">
        <v>2022</v>
      </c>
      <c r="G1020" s="9" t="s">
        <v>46</v>
      </c>
      <c r="H1020" s="11">
        <v>39995.57</v>
      </c>
      <c r="I1020" s="11">
        <v>39995.57</v>
      </c>
      <c r="J1020" s="9" t="s">
        <v>89</v>
      </c>
      <c r="K1020" s="9" t="s">
        <v>44</v>
      </c>
    </row>
    <row r="1021" spans="1:11" x14ac:dyDescent="0.25">
      <c r="A1021" s="8" t="s">
        <v>70</v>
      </c>
      <c r="B1021" s="9" t="s">
        <v>71</v>
      </c>
      <c r="C1021" s="9" t="s">
        <v>49</v>
      </c>
      <c r="D1021" s="9" t="s">
        <v>108</v>
      </c>
      <c r="E1021" s="10">
        <v>2021</v>
      </c>
      <c r="F1021" s="10">
        <v>2022</v>
      </c>
      <c r="G1021" s="9" t="s">
        <v>50</v>
      </c>
      <c r="H1021" s="11">
        <v>316.01</v>
      </c>
      <c r="I1021" s="11">
        <v>316.01</v>
      </c>
      <c r="J1021" s="9" t="s">
        <v>89</v>
      </c>
      <c r="K1021" s="9" t="s">
        <v>44</v>
      </c>
    </row>
    <row r="1022" spans="1:11" x14ac:dyDescent="0.25">
      <c r="A1022" s="8" t="s">
        <v>72</v>
      </c>
      <c r="B1022" s="9" t="s">
        <v>73</v>
      </c>
      <c r="C1022" s="9" t="s">
        <v>53</v>
      </c>
      <c r="D1022" s="9" t="s">
        <v>108</v>
      </c>
      <c r="E1022" s="10">
        <v>2021</v>
      </c>
      <c r="F1022" s="10">
        <v>2022</v>
      </c>
      <c r="G1022" s="9" t="s">
        <v>42</v>
      </c>
      <c r="H1022" s="11">
        <v>17191.66</v>
      </c>
      <c r="I1022" s="11">
        <v>17191.66</v>
      </c>
      <c r="J1022" s="9" t="s">
        <v>89</v>
      </c>
      <c r="K1022" s="9" t="s">
        <v>44</v>
      </c>
    </row>
    <row r="1023" spans="1:11" x14ac:dyDescent="0.25">
      <c r="A1023" s="8" t="s">
        <v>72</v>
      </c>
      <c r="B1023" s="9" t="s">
        <v>73</v>
      </c>
      <c r="C1023" s="9" t="s">
        <v>53</v>
      </c>
      <c r="D1023" s="9" t="s">
        <v>108</v>
      </c>
      <c r="E1023" s="10">
        <v>2021</v>
      </c>
      <c r="F1023" s="10">
        <v>2022</v>
      </c>
      <c r="G1023" s="9" t="s">
        <v>45</v>
      </c>
      <c r="H1023" s="11">
        <v>23.93</v>
      </c>
      <c r="I1023" s="11">
        <v>23.93</v>
      </c>
      <c r="J1023" s="9" t="s">
        <v>89</v>
      </c>
      <c r="K1023" s="9" t="s">
        <v>44</v>
      </c>
    </row>
    <row r="1024" spans="1:11" x14ac:dyDescent="0.25">
      <c r="A1024" s="8" t="s">
        <v>72</v>
      </c>
      <c r="B1024" s="9" t="s">
        <v>73</v>
      </c>
      <c r="C1024" s="9" t="s">
        <v>53</v>
      </c>
      <c r="D1024" s="9" t="s">
        <v>108</v>
      </c>
      <c r="E1024" s="10">
        <v>2021</v>
      </c>
      <c r="F1024" s="10">
        <v>2022</v>
      </c>
      <c r="G1024" s="9" t="s">
        <v>46</v>
      </c>
      <c r="H1024" s="11">
        <v>107791.58</v>
      </c>
      <c r="I1024" s="11">
        <v>107791.58</v>
      </c>
      <c r="J1024" s="9" t="s">
        <v>89</v>
      </c>
      <c r="K1024" s="9" t="s">
        <v>44</v>
      </c>
    </row>
    <row r="1025" spans="1:11" x14ac:dyDescent="0.25">
      <c r="A1025" s="8" t="s">
        <v>72</v>
      </c>
      <c r="B1025" s="9" t="s">
        <v>73</v>
      </c>
      <c r="C1025" s="9" t="s">
        <v>53</v>
      </c>
      <c r="D1025" s="9" t="s">
        <v>108</v>
      </c>
      <c r="E1025" s="10">
        <v>2021</v>
      </c>
      <c r="F1025" s="10">
        <v>2022</v>
      </c>
      <c r="G1025" s="9" t="s">
        <v>50</v>
      </c>
      <c r="H1025" s="11">
        <v>6.58</v>
      </c>
      <c r="I1025" s="11">
        <v>6.58</v>
      </c>
      <c r="J1025" s="9" t="s">
        <v>89</v>
      </c>
      <c r="K1025" s="9" t="s">
        <v>44</v>
      </c>
    </row>
    <row r="1026" spans="1:11" x14ac:dyDescent="0.25">
      <c r="A1026" s="8" t="s">
        <v>74</v>
      </c>
      <c r="B1026" s="9" t="s">
        <v>75</v>
      </c>
      <c r="C1026" s="9" t="s">
        <v>40</v>
      </c>
      <c r="D1026" s="9" t="s">
        <v>108</v>
      </c>
      <c r="E1026" s="10">
        <v>2021</v>
      </c>
      <c r="F1026" s="10">
        <v>2022</v>
      </c>
      <c r="G1026" s="9" t="s">
        <v>42</v>
      </c>
      <c r="H1026" s="11">
        <v>13821.29</v>
      </c>
      <c r="I1026" s="11">
        <v>13821.29</v>
      </c>
      <c r="J1026" s="9" t="s">
        <v>89</v>
      </c>
      <c r="K1026" s="9" t="s">
        <v>44</v>
      </c>
    </row>
    <row r="1027" spans="1:11" x14ac:dyDescent="0.25">
      <c r="A1027" s="8" t="s">
        <v>74</v>
      </c>
      <c r="B1027" s="9" t="s">
        <v>75</v>
      </c>
      <c r="C1027" s="9" t="s">
        <v>40</v>
      </c>
      <c r="D1027" s="9" t="s">
        <v>108</v>
      </c>
      <c r="E1027" s="10">
        <v>2021</v>
      </c>
      <c r="F1027" s="10">
        <v>2022</v>
      </c>
      <c r="G1027" s="9" t="s">
        <v>45</v>
      </c>
      <c r="H1027" s="11">
        <v>3.84</v>
      </c>
      <c r="I1027" s="11">
        <v>3.84</v>
      </c>
      <c r="J1027" s="9" t="s">
        <v>89</v>
      </c>
      <c r="K1027" s="9" t="s">
        <v>44</v>
      </c>
    </row>
    <row r="1028" spans="1:11" x14ac:dyDescent="0.25">
      <c r="A1028" s="8" t="s">
        <v>74</v>
      </c>
      <c r="B1028" s="9" t="s">
        <v>75</v>
      </c>
      <c r="C1028" s="9" t="s">
        <v>40</v>
      </c>
      <c r="D1028" s="9" t="s">
        <v>108</v>
      </c>
      <c r="E1028" s="10">
        <v>2021</v>
      </c>
      <c r="F1028" s="10">
        <v>2022</v>
      </c>
      <c r="G1028" s="9" t="s">
        <v>46</v>
      </c>
      <c r="H1028" s="11">
        <v>29530.63</v>
      </c>
      <c r="I1028" s="11">
        <v>29530.63</v>
      </c>
      <c r="J1028" s="9" t="s">
        <v>89</v>
      </c>
      <c r="K1028" s="9" t="s">
        <v>44</v>
      </c>
    </row>
    <row r="1029" spans="1:11" x14ac:dyDescent="0.25">
      <c r="A1029" s="8" t="s">
        <v>76</v>
      </c>
      <c r="B1029" s="9" t="s">
        <v>77</v>
      </c>
      <c r="C1029" s="9" t="s">
        <v>53</v>
      </c>
      <c r="D1029" s="9" t="s">
        <v>108</v>
      </c>
      <c r="E1029" s="10">
        <v>2021</v>
      </c>
      <c r="F1029" s="10">
        <v>2022</v>
      </c>
      <c r="G1029" s="9" t="s">
        <v>42</v>
      </c>
      <c r="H1029" s="11">
        <v>569.16</v>
      </c>
      <c r="I1029" s="11">
        <v>569.16</v>
      </c>
      <c r="J1029" s="9" t="s">
        <v>89</v>
      </c>
      <c r="K1029" s="9" t="s">
        <v>44</v>
      </c>
    </row>
    <row r="1030" spans="1:11" x14ac:dyDescent="0.25">
      <c r="A1030" s="8" t="s">
        <v>76</v>
      </c>
      <c r="B1030" s="9" t="s">
        <v>77</v>
      </c>
      <c r="C1030" s="9" t="s">
        <v>53</v>
      </c>
      <c r="D1030" s="9" t="s">
        <v>108</v>
      </c>
      <c r="E1030" s="10">
        <v>2021</v>
      </c>
      <c r="F1030" s="10">
        <v>2022</v>
      </c>
      <c r="G1030" s="9" t="s">
        <v>45</v>
      </c>
      <c r="H1030" s="11">
        <v>13.94</v>
      </c>
      <c r="I1030" s="11">
        <v>13.94</v>
      </c>
      <c r="J1030" s="9" t="s">
        <v>89</v>
      </c>
      <c r="K1030" s="9" t="s">
        <v>44</v>
      </c>
    </row>
    <row r="1031" spans="1:11" x14ac:dyDescent="0.25">
      <c r="A1031" s="8" t="s">
        <v>76</v>
      </c>
      <c r="B1031" s="9" t="s">
        <v>77</v>
      </c>
      <c r="C1031" s="9" t="s">
        <v>53</v>
      </c>
      <c r="D1031" s="9" t="s">
        <v>108</v>
      </c>
      <c r="E1031" s="10">
        <v>2021</v>
      </c>
      <c r="F1031" s="10">
        <v>2022</v>
      </c>
      <c r="G1031" s="9" t="s">
        <v>46</v>
      </c>
      <c r="H1031" s="11">
        <v>24496.33</v>
      </c>
      <c r="I1031" s="11">
        <v>24496.33</v>
      </c>
      <c r="J1031" s="9" t="s">
        <v>89</v>
      </c>
      <c r="K1031" s="9" t="s">
        <v>44</v>
      </c>
    </row>
    <row r="1032" spans="1:11" x14ac:dyDescent="0.25">
      <c r="A1032" s="8" t="s">
        <v>76</v>
      </c>
      <c r="B1032" s="9" t="s">
        <v>77</v>
      </c>
      <c r="C1032" s="9" t="s">
        <v>53</v>
      </c>
      <c r="D1032" s="9" t="s">
        <v>108</v>
      </c>
      <c r="E1032" s="10">
        <v>2021</v>
      </c>
      <c r="F1032" s="10">
        <v>2022</v>
      </c>
      <c r="G1032" s="9" t="s">
        <v>50</v>
      </c>
      <c r="H1032" s="11">
        <v>3.48</v>
      </c>
      <c r="I1032" s="11">
        <v>3.48</v>
      </c>
      <c r="J1032" s="9" t="s">
        <v>89</v>
      </c>
      <c r="K1032" s="9" t="s">
        <v>44</v>
      </c>
    </row>
    <row r="1033" spans="1:11" x14ac:dyDescent="0.25">
      <c r="A1033" s="8" t="s">
        <v>78</v>
      </c>
      <c r="B1033" s="9" t="s">
        <v>79</v>
      </c>
      <c r="C1033" s="9" t="s">
        <v>53</v>
      </c>
      <c r="D1033" s="9" t="s">
        <v>108</v>
      </c>
      <c r="E1033" s="10">
        <v>2021</v>
      </c>
      <c r="F1033" s="10">
        <v>2022</v>
      </c>
      <c r="G1033" s="9" t="s">
        <v>42</v>
      </c>
      <c r="H1033" s="11">
        <v>2349.14</v>
      </c>
      <c r="I1033" s="11">
        <v>2349.14</v>
      </c>
      <c r="J1033" s="9" t="s">
        <v>89</v>
      </c>
      <c r="K1033" s="9" t="s">
        <v>44</v>
      </c>
    </row>
    <row r="1034" spans="1:11" x14ac:dyDescent="0.25">
      <c r="A1034" s="8" t="s">
        <v>78</v>
      </c>
      <c r="B1034" s="9" t="s">
        <v>79</v>
      </c>
      <c r="C1034" s="9" t="s">
        <v>53</v>
      </c>
      <c r="D1034" s="9" t="s">
        <v>108</v>
      </c>
      <c r="E1034" s="10">
        <v>2021</v>
      </c>
      <c r="F1034" s="10">
        <v>2022</v>
      </c>
      <c r="G1034" s="9" t="s">
        <v>45</v>
      </c>
      <c r="H1034" s="11">
        <v>8.85</v>
      </c>
      <c r="I1034" s="11">
        <v>8.85</v>
      </c>
      <c r="J1034" s="9" t="s">
        <v>89</v>
      </c>
      <c r="K1034" s="9" t="s">
        <v>44</v>
      </c>
    </row>
    <row r="1035" spans="1:11" x14ac:dyDescent="0.25">
      <c r="A1035" s="8" t="s">
        <v>78</v>
      </c>
      <c r="B1035" s="9" t="s">
        <v>79</v>
      </c>
      <c r="C1035" s="9" t="s">
        <v>53</v>
      </c>
      <c r="D1035" s="9" t="s">
        <v>108</v>
      </c>
      <c r="E1035" s="10">
        <v>2021</v>
      </c>
      <c r="F1035" s="10">
        <v>2022</v>
      </c>
      <c r="G1035" s="9" t="s">
        <v>46</v>
      </c>
      <c r="H1035" s="11">
        <v>54157.46</v>
      </c>
      <c r="I1035" s="11">
        <v>54157.46</v>
      </c>
      <c r="J1035" s="9" t="s">
        <v>89</v>
      </c>
      <c r="K1035" s="9" t="s">
        <v>44</v>
      </c>
    </row>
    <row r="1036" spans="1:11" x14ac:dyDescent="0.25">
      <c r="A1036" s="8" t="s">
        <v>80</v>
      </c>
      <c r="B1036" s="9" t="s">
        <v>81</v>
      </c>
      <c r="C1036" s="9" t="s">
        <v>49</v>
      </c>
      <c r="D1036" s="9" t="s">
        <v>108</v>
      </c>
      <c r="E1036" s="10">
        <v>2021</v>
      </c>
      <c r="F1036" s="10">
        <v>2022</v>
      </c>
      <c r="G1036" s="9" t="s">
        <v>42</v>
      </c>
      <c r="H1036" s="11">
        <v>57668.9</v>
      </c>
      <c r="I1036" s="11">
        <v>57668.9</v>
      </c>
      <c r="J1036" s="9" t="s">
        <v>89</v>
      </c>
      <c r="K1036" s="9" t="s">
        <v>44</v>
      </c>
    </row>
    <row r="1037" spans="1:11" x14ac:dyDescent="0.25">
      <c r="A1037" s="8" t="s">
        <v>80</v>
      </c>
      <c r="B1037" s="9" t="s">
        <v>81</v>
      </c>
      <c r="C1037" s="9" t="s">
        <v>49</v>
      </c>
      <c r="D1037" s="9" t="s">
        <v>108</v>
      </c>
      <c r="E1037" s="10">
        <v>2021</v>
      </c>
      <c r="F1037" s="10">
        <v>2022</v>
      </c>
      <c r="G1037" s="9" t="s">
        <v>45</v>
      </c>
      <c r="H1037" s="11">
        <v>212.49</v>
      </c>
      <c r="I1037" s="11">
        <v>212.49</v>
      </c>
      <c r="J1037" s="9" t="s">
        <v>89</v>
      </c>
      <c r="K1037" s="9" t="s">
        <v>44</v>
      </c>
    </row>
    <row r="1038" spans="1:11" x14ac:dyDescent="0.25">
      <c r="A1038" s="8" t="s">
        <v>80</v>
      </c>
      <c r="B1038" s="9" t="s">
        <v>81</v>
      </c>
      <c r="C1038" s="9" t="s">
        <v>49</v>
      </c>
      <c r="D1038" s="9" t="s">
        <v>108</v>
      </c>
      <c r="E1038" s="10">
        <v>2021</v>
      </c>
      <c r="F1038" s="10">
        <v>2022</v>
      </c>
      <c r="G1038" s="9" t="s">
        <v>46</v>
      </c>
      <c r="H1038" s="11">
        <v>230760.39</v>
      </c>
      <c r="I1038" s="11">
        <v>230760.39</v>
      </c>
      <c r="J1038" s="9" t="s">
        <v>89</v>
      </c>
      <c r="K1038" s="9" t="s">
        <v>44</v>
      </c>
    </row>
    <row r="1039" spans="1:11" x14ac:dyDescent="0.25">
      <c r="A1039" s="8" t="s">
        <v>80</v>
      </c>
      <c r="B1039" s="9" t="s">
        <v>81</v>
      </c>
      <c r="C1039" s="9" t="s">
        <v>49</v>
      </c>
      <c r="D1039" s="9" t="s">
        <v>108</v>
      </c>
      <c r="E1039" s="10">
        <v>2021</v>
      </c>
      <c r="F1039" s="10">
        <v>2022</v>
      </c>
      <c r="G1039" s="9" t="s">
        <v>50</v>
      </c>
      <c r="H1039" s="11">
        <v>9.91</v>
      </c>
      <c r="I1039" s="11">
        <v>9.91</v>
      </c>
      <c r="J1039" s="9" t="s">
        <v>89</v>
      </c>
      <c r="K1039" s="9" t="s">
        <v>44</v>
      </c>
    </row>
    <row r="1040" spans="1:11" x14ac:dyDescent="0.25">
      <c r="A1040" s="8" t="s">
        <v>82</v>
      </c>
      <c r="B1040" s="9" t="s">
        <v>83</v>
      </c>
      <c r="C1040" s="9" t="s">
        <v>40</v>
      </c>
      <c r="D1040" s="9" t="s">
        <v>108</v>
      </c>
      <c r="E1040" s="10">
        <v>2021</v>
      </c>
      <c r="F1040" s="10">
        <v>2022</v>
      </c>
      <c r="G1040" s="9" t="s">
        <v>42</v>
      </c>
      <c r="H1040" s="11">
        <v>4261.12</v>
      </c>
      <c r="I1040" s="11">
        <v>4261.12</v>
      </c>
      <c r="J1040" s="9" t="s">
        <v>89</v>
      </c>
      <c r="K1040" s="9" t="s">
        <v>44</v>
      </c>
    </row>
    <row r="1041" spans="1:11" x14ac:dyDescent="0.25">
      <c r="A1041" s="8" t="s">
        <v>82</v>
      </c>
      <c r="B1041" s="9" t="s">
        <v>83</v>
      </c>
      <c r="C1041" s="9" t="s">
        <v>40</v>
      </c>
      <c r="D1041" s="9" t="s">
        <v>108</v>
      </c>
      <c r="E1041" s="10">
        <v>2021</v>
      </c>
      <c r="F1041" s="10">
        <v>2022</v>
      </c>
      <c r="G1041" s="9" t="s">
        <v>45</v>
      </c>
      <c r="H1041" s="11">
        <v>0.84</v>
      </c>
      <c r="I1041" s="11">
        <v>0.84</v>
      </c>
      <c r="J1041" s="9" t="s">
        <v>89</v>
      </c>
      <c r="K1041" s="9" t="s">
        <v>44</v>
      </c>
    </row>
    <row r="1042" spans="1:11" x14ac:dyDescent="0.25">
      <c r="A1042" s="8" t="s">
        <v>82</v>
      </c>
      <c r="B1042" s="9" t="s">
        <v>83</v>
      </c>
      <c r="C1042" s="9" t="s">
        <v>40</v>
      </c>
      <c r="D1042" s="9" t="s">
        <v>108</v>
      </c>
      <c r="E1042" s="10">
        <v>2021</v>
      </c>
      <c r="F1042" s="10">
        <v>2022</v>
      </c>
      <c r="G1042" s="9" t="s">
        <v>46</v>
      </c>
      <c r="H1042" s="11">
        <v>22302.560000000001</v>
      </c>
      <c r="I1042" s="11">
        <v>22302.560000000001</v>
      </c>
      <c r="J1042" s="9" t="s">
        <v>89</v>
      </c>
      <c r="K1042" s="9" t="s">
        <v>44</v>
      </c>
    </row>
    <row r="1043" spans="1:11" x14ac:dyDescent="0.25">
      <c r="A1043" s="8" t="s">
        <v>84</v>
      </c>
      <c r="B1043" s="9" t="s">
        <v>85</v>
      </c>
      <c r="C1043" s="9" t="s">
        <v>85</v>
      </c>
      <c r="D1043" s="9" t="s">
        <v>108</v>
      </c>
      <c r="E1043" s="10">
        <v>2021</v>
      </c>
      <c r="F1043" s="10">
        <v>2022</v>
      </c>
      <c r="G1043" s="9" t="s">
        <v>42</v>
      </c>
      <c r="H1043" s="11">
        <v>170545.94</v>
      </c>
      <c r="I1043" s="11">
        <v>170545.94</v>
      </c>
      <c r="J1043" s="9" t="s">
        <v>89</v>
      </c>
      <c r="K1043" s="9" t="s">
        <v>44</v>
      </c>
    </row>
    <row r="1044" spans="1:11" x14ac:dyDescent="0.25">
      <c r="A1044" s="8" t="s">
        <v>84</v>
      </c>
      <c r="B1044" s="9" t="s">
        <v>85</v>
      </c>
      <c r="C1044" s="9" t="s">
        <v>85</v>
      </c>
      <c r="D1044" s="9" t="s">
        <v>108</v>
      </c>
      <c r="E1044" s="10">
        <v>2021</v>
      </c>
      <c r="F1044" s="10">
        <v>2022</v>
      </c>
      <c r="G1044" s="9" t="s">
        <v>45</v>
      </c>
      <c r="H1044" s="11">
        <v>262.83999999999997</v>
      </c>
      <c r="I1044" s="11">
        <v>262.83999999999997</v>
      </c>
      <c r="J1044" s="9" t="s">
        <v>89</v>
      </c>
      <c r="K1044" s="9" t="s">
        <v>44</v>
      </c>
    </row>
    <row r="1045" spans="1:11" x14ac:dyDescent="0.25">
      <c r="A1045" s="8" t="s">
        <v>84</v>
      </c>
      <c r="B1045" s="9" t="s">
        <v>85</v>
      </c>
      <c r="C1045" s="9" t="s">
        <v>85</v>
      </c>
      <c r="D1045" s="9" t="s">
        <v>108</v>
      </c>
      <c r="E1045" s="10">
        <v>2021</v>
      </c>
      <c r="F1045" s="10">
        <v>2022</v>
      </c>
      <c r="G1045" s="9" t="s">
        <v>46</v>
      </c>
      <c r="H1045" s="11">
        <v>80957.83</v>
      </c>
      <c r="I1045" s="11">
        <v>80957.83</v>
      </c>
      <c r="J1045" s="9" t="s">
        <v>89</v>
      </c>
      <c r="K1045" s="9" t="s">
        <v>44</v>
      </c>
    </row>
    <row r="1046" spans="1:11" x14ac:dyDescent="0.25">
      <c r="A1046" s="8" t="s">
        <v>84</v>
      </c>
      <c r="B1046" s="9" t="s">
        <v>85</v>
      </c>
      <c r="C1046" s="9" t="s">
        <v>85</v>
      </c>
      <c r="D1046" s="9" t="s">
        <v>108</v>
      </c>
      <c r="E1046" s="10">
        <v>2021</v>
      </c>
      <c r="F1046" s="10">
        <v>2022</v>
      </c>
      <c r="G1046" s="9" t="s">
        <v>50</v>
      </c>
      <c r="H1046" s="11">
        <v>2497.02</v>
      </c>
      <c r="I1046" s="11">
        <v>2497.02</v>
      </c>
      <c r="J1046" s="9" t="s">
        <v>89</v>
      </c>
      <c r="K1046" s="9" t="s">
        <v>44</v>
      </c>
    </row>
    <row r="1047" spans="1:11" x14ac:dyDescent="0.25">
      <c r="A1047" s="8" t="s">
        <v>86</v>
      </c>
      <c r="B1047" s="9" t="s">
        <v>87</v>
      </c>
      <c r="C1047" s="9" t="s">
        <v>69</v>
      </c>
      <c r="D1047" s="9" t="s">
        <v>108</v>
      </c>
      <c r="E1047" s="10">
        <v>2021</v>
      </c>
      <c r="F1047" s="10">
        <v>2022</v>
      </c>
      <c r="G1047" s="9" t="s">
        <v>42</v>
      </c>
      <c r="H1047" s="11">
        <v>136033.37</v>
      </c>
      <c r="I1047" s="11">
        <v>136033.37</v>
      </c>
      <c r="J1047" s="9" t="s">
        <v>89</v>
      </c>
      <c r="K1047" s="9" t="s">
        <v>44</v>
      </c>
    </row>
    <row r="1048" spans="1:11" x14ac:dyDescent="0.25">
      <c r="A1048" s="8" t="s">
        <v>86</v>
      </c>
      <c r="B1048" s="9" t="s">
        <v>87</v>
      </c>
      <c r="C1048" s="9" t="s">
        <v>69</v>
      </c>
      <c r="D1048" s="9" t="s">
        <v>108</v>
      </c>
      <c r="E1048" s="10">
        <v>2021</v>
      </c>
      <c r="F1048" s="10">
        <v>2022</v>
      </c>
      <c r="G1048" s="9" t="s">
        <v>45</v>
      </c>
      <c r="H1048" s="11">
        <v>105.2</v>
      </c>
      <c r="I1048" s="11">
        <v>105.2</v>
      </c>
      <c r="J1048" s="9" t="s">
        <v>89</v>
      </c>
      <c r="K1048" s="9" t="s">
        <v>44</v>
      </c>
    </row>
    <row r="1049" spans="1:11" x14ac:dyDescent="0.25">
      <c r="A1049" s="8" t="s">
        <v>86</v>
      </c>
      <c r="B1049" s="9" t="s">
        <v>87</v>
      </c>
      <c r="C1049" s="9" t="s">
        <v>69</v>
      </c>
      <c r="D1049" s="9" t="s">
        <v>108</v>
      </c>
      <c r="E1049" s="10">
        <v>2021</v>
      </c>
      <c r="F1049" s="10">
        <v>2022</v>
      </c>
      <c r="G1049" s="9" t="s">
        <v>46</v>
      </c>
      <c r="H1049" s="11">
        <v>21482.92</v>
      </c>
      <c r="I1049" s="11">
        <v>21482.92</v>
      </c>
      <c r="J1049" s="9" t="s">
        <v>89</v>
      </c>
      <c r="K1049" s="9" t="s">
        <v>44</v>
      </c>
    </row>
    <row r="1050" spans="1:11" x14ac:dyDescent="0.25">
      <c r="A1050" s="8" t="s">
        <v>86</v>
      </c>
      <c r="B1050" s="9" t="s">
        <v>87</v>
      </c>
      <c r="C1050" s="9" t="s">
        <v>69</v>
      </c>
      <c r="D1050" s="9" t="s">
        <v>108</v>
      </c>
      <c r="E1050" s="10">
        <v>2021</v>
      </c>
      <c r="F1050" s="10">
        <v>2022</v>
      </c>
      <c r="G1050" s="9" t="s">
        <v>50</v>
      </c>
      <c r="H1050" s="11">
        <v>7822.65</v>
      </c>
      <c r="I1050" s="11">
        <v>7822.65</v>
      </c>
      <c r="J1050" s="9" t="s">
        <v>89</v>
      </c>
      <c r="K1050" s="9" t="s">
        <v>44</v>
      </c>
    </row>
    <row r="1051" spans="1:11" x14ac:dyDescent="0.25">
      <c r="A1051" s="8" t="s">
        <v>38</v>
      </c>
      <c r="B1051" s="9" t="s">
        <v>39</v>
      </c>
      <c r="C1051" s="9" t="s">
        <v>40</v>
      </c>
      <c r="D1051" s="9" t="s">
        <v>109</v>
      </c>
      <c r="E1051" s="10">
        <v>2022</v>
      </c>
      <c r="F1051" s="10">
        <v>2023</v>
      </c>
      <c r="G1051" s="9" t="s">
        <v>42</v>
      </c>
      <c r="H1051" s="11">
        <v>13573.16</v>
      </c>
      <c r="I1051" s="11">
        <v>13573.16</v>
      </c>
      <c r="J1051" s="9" t="s">
        <v>89</v>
      </c>
      <c r="K1051" s="9" t="s">
        <v>44</v>
      </c>
    </row>
    <row r="1052" spans="1:11" x14ac:dyDescent="0.25">
      <c r="A1052" s="8" t="s">
        <v>38</v>
      </c>
      <c r="B1052" s="9" t="s">
        <v>39</v>
      </c>
      <c r="C1052" s="9" t="s">
        <v>40</v>
      </c>
      <c r="D1052" s="9" t="s">
        <v>109</v>
      </c>
      <c r="E1052" s="10">
        <v>2022</v>
      </c>
      <c r="F1052" s="10">
        <v>2023</v>
      </c>
      <c r="G1052" s="9" t="s">
        <v>45</v>
      </c>
      <c r="H1052" s="11">
        <v>8.2200000000000006</v>
      </c>
      <c r="I1052" s="11">
        <v>8.2200000000000006</v>
      </c>
      <c r="J1052" s="9" t="s">
        <v>89</v>
      </c>
      <c r="K1052" s="9" t="s">
        <v>44</v>
      </c>
    </row>
    <row r="1053" spans="1:11" x14ac:dyDescent="0.25">
      <c r="A1053" s="8" t="s">
        <v>38</v>
      </c>
      <c r="B1053" s="9" t="s">
        <v>39</v>
      </c>
      <c r="C1053" s="9" t="s">
        <v>40</v>
      </c>
      <c r="D1053" s="9" t="s">
        <v>109</v>
      </c>
      <c r="E1053" s="10">
        <v>2022</v>
      </c>
      <c r="F1053" s="10">
        <v>2023</v>
      </c>
      <c r="G1053" s="9" t="s">
        <v>46</v>
      </c>
      <c r="H1053" s="11">
        <v>16081.81</v>
      </c>
      <c r="I1053" s="11">
        <v>16081.81</v>
      </c>
      <c r="J1053" s="9" t="s">
        <v>89</v>
      </c>
      <c r="K1053" s="9" t="s">
        <v>44</v>
      </c>
    </row>
    <row r="1054" spans="1:11" x14ac:dyDescent="0.25">
      <c r="A1054" s="8" t="s">
        <v>47</v>
      </c>
      <c r="B1054" s="9" t="s">
        <v>48</v>
      </c>
      <c r="C1054" s="9" t="s">
        <v>49</v>
      </c>
      <c r="D1054" s="9" t="s">
        <v>109</v>
      </c>
      <c r="E1054" s="10">
        <v>2022</v>
      </c>
      <c r="F1054" s="10">
        <v>2023</v>
      </c>
      <c r="G1054" s="9" t="s">
        <v>42</v>
      </c>
      <c r="H1054" s="11">
        <v>15029.81</v>
      </c>
      <c r="I1054" s="11">
        <v>15029.81</v>
      </c>
      <c r="J1054" s="9" t="s">
        <v>89</v>
      </c>
      <c r="K1054" s="9" t="s">
        <v>44</v>
      </c>
    </row>
    <row r="1055" spans="1:11" x14ac:dyDescent="0.25">
      <c r="A1055" s="8" t="s">
        <v>47</v>
      </c>
      <c r="B1055" s="9" t="s">
        <v>48</v>
      </c>
      <c r="C1055" s="9" t="s">
        <v>49</v>
      </c>
      <c r="D1055" s="9" t="s">
        <v>109</v>
      </c>
      <c r="E1055" s="10">
        <v>2022</v>
      </c>
      <c r="F1055" s="10">
        <v>2023</v>
      </c>
      <c r="G1055" s="9" t="s">
        <v>45</v>
      </c>
      <c r="H1055" s="11">
        <v>45.93</v>
      </c>
      <c r="I1055" s="11">
        <v>45.93</v>
      </c>
      <c r="J1055" s="9" t="s">
        <v>89</v>
      </c>
      <c r="K1055" s="9" t="s">
        <v>44</v>
      </c>
    </row>
    <row r="1056" spans="1:11" x14ac:dyDescent="0.25">
      <c r="A1056" s="8" t="s">
        <v>47</v>
      </c>
      <c r="B1056" s="9" t="s">
        <v>48</v>
      </c>
      <c r="C1056" s="9" t="s">
        <v>49</v>
      </c>
      <c r="D1056" s="9" t="s">
        <v>109</v>
      </c>
      <c r="E1056" s="10">
        <v>2022</v>
      </c>
      <c r="F1056" s="10">
        <v>2023</v>
      </c>
      <c r="G1056" s="9" t="s">
        <v>46</v>
      </c>
      <c r="H1056" s="11">
        <v>38204.769999999997</v>
      </c>
      <c r="I1056" s="11">
        <v>38204.769999999997</v>
      </c>
      <c r="J1056" s="9" t="s">
        <v>89</v>
      </c>
      <c r="K1056" s="9" t="s">
        <v>44</v>
      </c>
    </row>
    <row r="1057" spans="1:11" x14ac:dyDescent="0.25">
      <c r="A1057" s="8" t="s">
        <v>51</v>
      </c>
      <c r="B1057" s="9" t="s">
        <v>52</v>
      </c>
      <c r="C1057" s="9" t="s">
        <v>53</v>
      </c>
      <c r="D1057" s="9" t="s">
        <v>109</v>
      </c>
      <c r="E1057" s="10">
        <v>2022</v>
      </c>
      <c r="F1057" s="10">
        <v>2023</v>
      </c>
      <c r="G1057" s="9" t="s">
        <v>42</v>
      </c>
      <c r="H1057" s="11">
        <v>1711.81</v>
      </c>
      <c r="I1057" s="11">
        <v>1711.81</v>
      </c>
      <c r="J1057" s="9" t="s">
        <v>89</v>
      </c>
      <c r="K1057" s="9" t="s">
        <v>44</v>
      </c>
    </row>
    <row r="1058" spans="1:11" x14ac:dyDescent="0.25">
      <c r="A1058" s="8" t="s">
        <v>51</v>
      </c>
      <c r="B1058" s="9" t="s">
        <v>52</v>
      </c>
      <c r="C1058" s="9" t="s">
        <v>53</v>
      </c>
      <c r="D1058" s="9" t="s">
        <v>109</v>
      </c>
      <c r="E1058" s="10">
        <v>2022</v>
      </c>
      <c r="F1058" s="10">
        <v>2023</v>
      </c>
      <c r="G1058" s="9" t="s">
        <v>45</v>
      </c>
      <c r="H1058" s="11">
        <v>58.66</v>
      </c>
      <c r="I1058" s="11">
        <v>58.66</v>
      </c>
      <c r="J1058" s="9" t="s">
        <v>89</v>
      </c>
      <c r="K1058" s="9" t="s">
        <v>44</v>
      </c>
    </row>
    <row r="1059" spans="1:11" x14ac:dyDescent="0.25">
      <c r="A1059" s="8" t="s">
        <v>51</v>
      </c>
      <c r="B1059" s="9" t="s">
        <v>52</v>
      </c>
      <c r="C1059" s="9" t="s">
        <v>53</v>
      </c>
      <c r="D1059" s="9" t="s">
        <v>109</v>
      </c>
      <c r="E1059" s="10">
        <v>2022</v>
      </c>
      <c r="F1059" s="10">
        <v>2023</v>
      </c>
      <c r="G1059" s="9" t="s">
        <v>46</v>
      </c>
      <c r="H1059" s="11">
        <v>72295.33</v>
      </c>
      <c r="I1059" s="11">
        <v>72295.33</v>
      </c>
      <c r="J1059" s="9" t="s">
        <v>89</v>
      </c>
      <c r="K1059" s="9" t="s">
        <v>44</v>
      </c>
    </row>
    <row r="1060" spans="1:11" x14ac:dyDescent="0.25">
      <c r="A1060" s="8" t="s">
        <v>51</v>
      </c>
      <c r="B1060" s="9" t="s">
        <v>52</v>
      </c>
      <c r="C1060" s="9" t="s">
        <v>53</v>
      </c>
      <c r="D1060" s="9" t="s">
        <v>109</v>
      </c>
      <c r="E1060" s="10">
        <v>2022</v>
      </c>
      <c r="F1060" s="10">
        <v>2023</v>
      </c>
      <c r="G1060" s="9" t="s">
        <v>50</v>
      </c>
      <c r="H1060" s="11">
        <v>0.19</v>
      </c>
      <c r="I1060" s="11">
        <v>0.19</v>
      </c>
      <c r="J1060" s="9" t="s">
        <v>89</v>
      </c>
      <c r="K1060" s="9" t="s">
        <v>44</v>
      </c>
    </row>
    <row r="1061" spans="1:11" x14ac:dyDescent="0.25">
      <c r="A1061" s="8" t="s">
        <v>54</v>
      </c>
      <c r="B1061" s="9" t="s">
        <v>55</v>
      </c>
      <c r="C1061" s="9" t="s">
        <v>49</v>
      </c>
      <c r="D1061" s="9" t="s">
        <v>109</v>
      </c>
      <c r="E1061" s="10">
        <v>2022</v>
      </c>
      <c r="F1061" s="10">
        <v>2023</v>
      </c>
      <c r="G1061" s="9" t="s">
        <v>42</v>
      </c>
      <c r="H1061" s="11">
        <v>3947.91</v>
      </c>
      <c r="I1061" s="11">
        <v>3947.91</v>
      </c>
      <c r="J1061" s="9" t="s">
        <v>89</v>
      </c>
      <c r="K1061" s="9" t="s">
        <v>44</v>
      </c>
    </row>
    <row r="1062" spans="1:11" x14ac:dyDescent="0.25">
      <c r="A1062" s="8" t="s">
        <v>54</v>
      </c>
      <c r="B1062" s="9" t="s">
        <v>55</v>
      </c>
      <c r="C1062" s="9" t="s">
        <v>49</v>
      </c>
      <c r="D1062" s="9" t="s">
        <v>109</v>
      </c>
      <c r="E1062" s="10">
        <v>2022</v>
      </c>
      <c r="F1062" s="10">
        <v>2023</v>
      </c>
      <c r="G1062" s="9" t="s">
        <v>45</v>
      </c>
      <c r="H1062" s="11">
        <v>0.55000000000000004</v>
      </c>
      <c r="I1062" s="11">
        <v>0.55000000000000004</v>
      </c>
      <c r="J1062" s="9" t="s">
        <v>89</v>
      </c>
      <c r="K1062" s="9" t="s">
        <v>44</v>
      </c>
    </row>
    <row r="1063" spans="1:11" x14ac:dyDescent="0.25">
      <c r="A1063" s="8" t="s">
        <v>54</v>
      </c>
      <c r="B1063" s="9" t="s">
        <v>55</v>
      </c>
      <c r="C1063" s="9" t="s">
        <v>49</v>
      </c>
      <c r="D1063" s="9" t="s">
        <v>109</v>
      </c>
      <c r="E1063" s="10">
        <v>2022</v>
      </c>
      <c r="F1063" s="10">
        <v>2023</v>
      </c>
      <c r="G1063" s="9" t="s">
        <v>46</v>
      </c>
      <c r="H1063" s="11">
        <v>34415.800000000003</v>
      </c>
      <c r="I1063" s="11">
        <v>34415.800000000003</v>
      </c>
      <c r="J1063" s="9" t="s">
        <v>89</v>
      </c>
      <c r="K1063" s="9" t="s">
        <v>44</v>
      </c>
    </row>
    <row r="1064" spans="1:11" x14ac:dyDescent="0.25">
      <c r="A1064" s="8" t="s">
        <v>56</v>
      </c>
      <c r="B1064" s="9" t="s">
        <v>57</v>
      </c>
      <c r="C1064" s="9" t="s">
        <v>40</v>
      </c>
      <c r="D1064" s="9" t="s">
        <v>109</v>
      </c>
      <c r="E1064" s="10">
        <v>2022</v>
      </c>
      <c r="F1064" s="10">
        <v>2023</v>
      </c>
      <c r="G1064" s="9" t="s">
        <v>42</v>
      </c>
      <c r="H1064" s="11">
        <v>12135.35</v>
      </c>
      <c r="I1064" s="11">
        <v>12135.35</v>
      </c>
      <c r="J1064" s="9" t="s">
        <v>89</v>
      </c>
      <c r="K1064" s="9" t="s">
        <v>44</v>
      </c>
    </row>
    <row r="1065" spans="1:11" x14ac:dyDescent="0.25">
      <c r="A1065" s="8" t="s">
        <v>56</v>
      </c>
      <c r="B1065" s="9" t="s">
        <v>57</v>
      </c>
      <c r="C1065" s="9" t="s">
        <v>40</v>
      </c>
      <c r="D1065" s="9" t="s">
        <v>109</v>
      </c>
      <c r="E1065" s="10">
        <v>2022</v>
      </c>
      <c r="F1065" s="10">
        <v>2023</v>
      </c>
      <c r="G1065" s="9" t="s">
        <v>45</v>
      </c>
      <c r="H1065" s="11">
        <v>10.91</v>
      </c>
      <c r="I1065" s="11">
        <v>10.91</v>
      </c>
      <c r="J1065" s="9" t="s">
        <v>89</v>
      </c>
      <c r="K1065" s="9" t="s">
        <v>44</v>
      </c>
    </row>
    <row r="1066" spans="1:11" x14ac:dyDescent="0.25">
      <c r="A1066" s="8" t="s">
        <v>56</v>
      </c>
      <c r="B1066" s="9" t="s">
        <v>57</v>
      </c>
      <c r="C1066" s="9" t="s">
        <v>40</v>
      </c>
      <c r="D1066" s="9" t="s">
        <v>109</v>
      </c>
      <c r="E1066" s="10">
        <v>2022</v>
      </c>
      <c r="F1066" s="10">
        <v>2023</v>
      </c>
      <c r="G1066" s="9" t="s">
        <v>46</v>
      </c>
      <c r="H1066" s="11">
        <v>24299.24</v>
      </c>
      <c r="I1066" s="11">
        <v>24299.24</v>
      </c>
      <c r="J1066" s="9" t="s">
        <v>89</v>
      </c>
      <c r="K1066" s="9" t="s">
        <v>44</v>
      </c>
    </row>
    <row r="1067" spans="1:11" x14ac:dyDescent="0.25">
      <c r="A1067" s="8" t="s">
        <v>58</v>
      </c>
      <c r="B1067" s="9" t="s">
        <v>59</v>
      </c>
      <c r="C1067" s="9" t="s">
        <v>49</v>
      </c>
      <c r="D1067" s="9" t="s">
        <v>109</v>
      </c>
      <c r="E1067" s="10">
        <v>2022</v>
      </c>
      <c r="F1067" s="10">
        <v>2023</v>
      </c>
      <c r="G1067" s="9" t="s">
        <v>42</v>
      </c>
      <c r="H1067" s="11">
        <v>18696.689999999999</v>
      </c>
      <c r="I1067" s="11">
        <v>18696.689999999999</v>
      </c>
      <c r="J1067" s="9" t="s">
        <v>89</v>
      </c>
      <c r="K1067" s="9" t="s">
        <v>44</v>
      </c>
    </row>
    <row r="1068" spans="1:11" x14ac:dyDescent="0.25">
      <c r="A1068" s="8" t="s">
        <v>58</v>
      </c>
      <c r="B1068" s="9" t="s">
        <v>59</v>
      </c>
      <c r="C1068" s="9" t="s">
        <v>49</v>
      </c>
      <c r="D1068" s="9" t="s">
        <v>109</v>
      </c>
      <c r="E1068" s="10">
        <v>2022</v>
      </c>
      <c r="F1068" s="10">
        <v>2023</v>
      </c>
      <c r="G1068" s="9" t="s">
        <v>45</v>
      </c>
      <c r="H1068" s="11">
        <v>17.48</v>
      </c>
      <c r="I1068" s="11">
        <v>17.48</v>
      </c>
      <c r="J1068" s="9" t="s">
        <v>89</v>
      </c>
      <c r="K1068" s="9" t="s">
        <v>44</v>
      </c>
    </row>
    <row r="1069" spans="1:11" x14ac:dyDescent="0.25">
      <c r="A1069" s="8" t="s">
        <v>58</v>
      </c>
      <c r="B1069" s="9" t="s">
        <v>59</v>
      </c>
      <c r="C1069" s="9" t="s">
        <v>49</v>
      </c>
      <c r="D1069" s="9" t="s">
        <v>109</v>
      </c>
      <c r="E1069" s="10">
        <v>2022</v>
      </c>
      <c r="F1069" s="10">
        <v>2023</v>
      </c>
      <c r="G1069" s="9" t="s">
        <v>46</v>
      </c>
      <c r="H1069" s="11">
        <v>51748.57</v>
      </c>
      <c r="I1069" s="11">
        <v>51748.57</v>
      </c>
      <c r="J1069" s="9" t="s">
        <v>89</v>
      </c>
      <c r="K1069" s="9" t="s">
        <v>44</v>
      </c>
    </row>
    <row r="1070" spans="1:11" x14ac:dyDescent="0.25">
      <c r="A1070" s="8" t="s">
        <v>60</v>
      </c>
      <c r="B1070" s="9" t="s">
        <v>61</v>
      </c>
      <c r="C1070" s="9" t="s">
        <v>40</v>
      </c>
      <c r="D1070" s="9" t="s">
        <v>109</v>
      </c>
      <c r="E1070" s="10">
        <v>2022</v>
      </c>
      <c r="F1070" s="10">
        <v>2023</v>
      </c>
      <c r="G1070" s="9" t="s">
        <v>42</v>
      </c>
      <c r="H1070" s="11">
        <v>138373.42000000001</v>
      </c>
      <c r="I1070" s="11">
        <v>138373.42000000001</v>
      </c>
      <c r="J1070" s="9" t="s">
        <v>89</v>
      </c>
      <c r="K1070" s="9" t="s">
        <v>44</v>
      </c>
    </row>
    <row r="1071" spans="1:11" x14ac:dyDescent="0.25">
      <c r="A1071" s="8" t="s">
        <v>60</v>
      </c>
      <c r="B1071" s="9" t="s">
        <v>61</v>
      </c>
      <c r="C1071" s="9" t="s">
        <v>40</v>
      </c>
      <c r="D1071" s="9" t="s">
        <v>109</v>
      </c>
      <c r="E1071" s="10">
        <v>2022</v>
      </c>
      <c r="F1071" s="10">
        <v>2023</v>
      </c>
      <c r="G1071" s="9" t="s">
        <v>45</v>
      </c>
      <c r="H1071" s="11">
        <v>166.36</v>
      </c>
      <c r="I1071" s="11">
        <v>166.36</v>
      </c>
      <c r="J1071" s="9" t="s">
        <v>89</v>
      </c>
      <c r="K1071" s="9" t="s">
        <v>44</v>
      </c>
    </row>
    <row r="1072" spans="1:11" x14ac:dyDescent="0.25">
      <c r="A1072" s="8" t="s">
        <v>60</v>
      </c>
      <c r="B1072" s="9" t="s">
        <v>61</v>
      </c>
      <c r="C1072" s="9" t="s">
        <v>40</v>
      </c>
      <c r="D1072" s="9" t="s">
        <v>109</v>
      </c>
      <c r="E1072" s="10">
        <v>2022</v>
      </c>
      <c r="F1072" s="10">
        <v>2023</v>
      </c>
      <c r="G1072" s="9" t="s">
        <v>46</v>
      </c>
      <c r="H1072" s="11">
        <v>56382.39</v>
      </c>
      <c r="I1072" s="11">
        <v>56382.39</v>
      </c>
      <c r="J1072" s="9" t="s">
        <v>89</v>
      </c>
      <c r="K1072" s="9" t="s">
        <v>44</v>
      </c>
    </row>
    <row r="1073" spans="1:11" x14ac:dyDescent="0.25">
      <c r="A1073" s="8" t="s">
        <v>62</v>
      </c>
      <c r="B1073" s="9" t="s">
        <v>63</v>
      </c>
      <c r="C1073" s="9" t="s">
        <v>40</v>
      </c>
      <c r="D1073" s="9" t="s">
        <v>109</v>
      </c>
      <c r="E1073" s="10">
        <v>2022</v>
      </c>
      <c r="F1073" s="10">
        <v>2023</v>
      </c>
      <c r="G1073" s="9" t="s">
        <v>42</v>
      </c>
      <c r="H1073" s="11">
        <v>90855.44</v>
      </c>
      <c r="I1073" s="11">
        <v>90855.44</v>
      </c>
      <c r="J1073" s="9" t="s">
        <v>89</v>
      </c>
      <c r="K1073" s="9" t="s">
        <v>44</v>
      </c>
    </row>
    <row r="1074" spans="1:11" x14ac:dyDescent="0.25">
      <c r="A1074" s="8" t="s">
        <v>62</v>
      </c>
      <c r="B1074" s="9" t="s">
        <v>63</v>
      </c>
      <c r="C1074" s="9" t="s">
        <v>40</v>
      </c>
      <c r="D1074" s="9" t="s">
        <v>109</v>
      </c>
      <c r="E1074" s="10">
        <v>2022</v>
      </c>
      <c r="F1074" s="10">
        <v>2023</v>
      </c>
      <c r="G1074" s="9" t="s">
        <v>45</v>
      </c>
      <c r="H1074" s="11">
        <v>109.89</v>
      </c>
      <c r="I1074" s="11">
        <v>109.89</v>
      </c>
      <c r="J1074" s="9" t="s">
        <v>89</v>
      </c>
      <c r="K1074" s="9" t="s">
        <v>44</v>
      </c>
    </row>
    <row r="1075" spans="1:11" x14ac:dyDescent="0.25">
      <c r="A1075" s="8" t="s">
        <v>62</v>
      </c>
      <c r="B1075" s="9" t="s">
        <v>63</v>
      </c>
      <c r="C1075" s="9" t="s">
        <v>40</v>
      </c>
      <c r="D1075" s="9" t="s">
        <v>109</v>
      </c>
      <c r="E1075" s="10">
        <v>2022</v>
      </c>
      <c r="F1075" s="10">
        <v>2023</v>
      </c>
      <c r="G1075" s="9" t="s">
        <v>46</v>
      </c>
      <c r="H1075" s="11">
        <v>47260.13</v>
      </c>
      <c r="I1075" s="11">
        <v>47260.13</v>
      </c>
      <c r="J1075" s="9" t="s">
        <v>89</v>
      </c>
      <c r="K1075" s="9" t="s">
        <v>44</v>
      </c>
    </row>
    <row r="1076" spans="1:11" x14ac:dyDescent="0.25">
      <c r="A1076" s="8" t="s">
        <v>65</v>
      </c>
      <c r="B1076" s="9" t="s">
        <v>66</v>
      </c>
      <c r="C1076" s="9" t="s">
        <v>40</v>
      </c>
      <c r="D1076" s="9" t="s">
        <v>109</v>
      </c>
      <c r="E1076" s="10">
        <v>2022</v>
      </c>
      <c r="F1076" s="10">
        <v>2023</v>
      </c>
      <c r="G1076" s="9" t="s">
        <v>42</v>
      </c>
      <c r="H1076" s="11">
        <v>1515.6</v>
      </c>
      <c r="I1076" s="11">
        <v>1515.6</v>
      </c>
      <c r="J1076" s="9" t="s">
        <v>89</v>
      </c>
      <c r="K1076" s="9" t="s">
        <v>44</v>
      </c>
    </row>
    <row r="1077" spans="1:11" x14ac:dyDescent="0.25">
      <c r="A1077" s="8" t="s">
        <v>65</v>
      </c>
      <c r="B1077" s="9" t="s">
        <v>66</v>
      </c>
      <c r="C1077" s="9" t="s">
        <v>40</v>
      </c>
      <c r="D1077" s="9" t="s">
        <v>109</v>
      </c>
      <c r="E1077" s="10">
        <v>2022</v>
      </c>
      <c r="F1077" s="10">
        <v>2023</v>
      </c>
      <c r="G1077" s="9" t="s">
        <v>46</v>
      </c>
      <c r="H1077" s="11">
        <v>7816.66</v>
      </c>
      <c r="I1077" s="11">
        <v>7816.66</v>
      </c>
      <c r="J1077" s="9" t="s">
        <v>89</v>
      </c>
      <c r="K1077" s="9" t="s">
        <v>44</v>
      </c>
    </row>
    <row r="1078" spans="1:11" x14ac:dyDescent="0.25">
      <c r="A1078" s="8" t="s">
        <v>67</v>
      </c>
      <c r="B1078" s="9" t="s">
        <v>68</v>
      </c>
      <c r="C1078" s="9" t="s">
        <v>69</v>
      </c>
      <c r="D1078" s="9" t="s">
        <v>109</v>
      </c>
      <c r="E1078" s="10">
        <v>2022</v>
      </c>
      <c r="F1078" s="10">
        <v>2023</v>
      </c>
      <c r="G1078" s="9" t="s">
        <v>42</v>
      </c>
      <c r="H1078" s="11">
        <v>98850</v>
      </c>
      <c r="I1078" s="11">
        <v>98850</v>
      </c>
      <c r="J1078" s="9" t="s">
        <v>89</v>
      </c>
      <c r="K1078" s="9" t="s">
        <v>44</v>
      </c>
    </row>
    <row r="1079" spans="1:11" x14ac:dyDescent="0.25">
      <c r="A1079" s="8" t="s">
        <v>67</v>
      </c>
      <c r="B1079" s="9" t="s">
        <v>68</v>
      </c>
      <c r="C1079" s="9" t="s">
        <v>69</v>
      </c>
      <c r="D1079" s="9" t="s">
        <v>109</v>
      </c>
      <c r="E1079" s="10">
        <v>2022</v>
      </c>
      <c r="F1079" s="10">
        <v>2023</v>
      </c>
      <c r="G1079" s="9" t="s">
        <v>45</v>
      </c>
      <c r="H1079" s="11">
        <v>72.680000000000007</v>
      </c>
      <c r="I1079" s="11">
        <v>72.680000000000007</v>
      </c>
      <c r="J1079" s="9" t="s">
        <v>89</v>
      </c>
      <c r="K1079" s="9" t="s">
        <v>44</v>
      </c>
    </row>
    <row r="1080" spans="1:11" x14ac:dyDescent="0.25">
      <c r="A1080" s="8" t="s">
        <v>67</v>
      </c>
      <c r="B1080" s="9" t="s">
        <v>68</v>
      </c>
      <c r="C1080" s="9" t="s">
        <v>69</v>
      </c>
      <c r="D1080" s="9" t="s">
        <v>109</v>
      </c>
      <c r="E1080" s="10">
        <v>2022</v>
      </c>
      <c r="F1080" s="10">
        <v>2023</v>
      </c>
      <c r="G1080" s="9" t="s">
        <v>46</v>
      </c>
      <c r="H1080" s="11">
        <v>25964.69</v>
      </c>
      <c r="I1080" s="11">
        <v>25964.69</v>
      </c>
      <c r="J1080" s="9" t="s">
        <v>89</v>
      </c>
      <c r="K1080" s="9" t="s">
        <v>44</v>
      </c>
    </row>
    <row r="1081" spans="1:11" x14ac:dyDescent="0.25">
      <c r="A1081" s="8" t="s">
        <v>67</v>
      </c>
      <c r="B1081" s="9" t="s">
        <v>68</v>
      </c>
      <c r="C1081" s="9" t="s">
        <v>69</v>
      </c>
      <c r="D1081" s="9" t="s">
        <v>109</v>
      </c>
      <c r="E1081" s="10">
        <v>2022</v>
      </c>
      <c r="F1081" s="10">
        <v>2023</v>
      </c>
      <c r="G1081" s="9" t="s">
        <v>50</v>
      </c>
      <c r="H1081" s="11">
        <v>6.28</v>
      </c>
      <c r="I1081" s="11">
        <v>6.28</v>
      </c>
      <c r="J1081" s="9" t="s">
        <v>89</v>
      </c>
      <c r="K1081" s="9" t="s">
        <v>44</v>
      </c>
    </row>
    <row r="1082" spans="1:11" x14ac:dyDescent="0.25">
      <c r="A1082" s="8" t="s">
        <v>70</v>
      </c>
      <c r="B1082" s="9" t="s">
        <v>71</v>
      </c>
      <c r="C1082" s="9" t="s">
        <v>49</v>
      </c>
      <c r="D1082" s="9" t="s">
        <v>109</v>
      </c>
      <c r="E1082" s="10">
        <v>2022</v>
      </c>
      <c r="F1082" s="10">
        <v>2023</v>
      </c>
      <c r="G1082" s="9" t="s">
        <v>42</v>
      </c>
      <c r="H1082" s="11">
        <v>65512.56</v>
      </c>
      <c r="I1082" s="11">
        <v>65512.56</v>
      </c>
      <c r="J1082" s="9" t="s">
        <v>89</v>
      </c>
      <c r="K1082" s="9" t="s">
        <v>44</v>
      </c>
    </row>
    <row r="1083" spans="1:11" x14ac:dyDescent="0.25">
      <c r="A1083" s="8" t="s">
        <v>70</v>
      </c>
      <c r="B1083" s="9" t="s">
        <v>71</v>
      </c>
      <c r="C1083" s="9" t="s">
        <v>49</v>
      </c>
      <c r="D1083" s="9" t="s">
        <v>109</v>
      </c>
      <c r="E1083" s="10">
        <v>2022</v>
      </c>
      <c r="F1083" s="10">
        <v>2023</v>
      </c>
      <c r="G1083" s="9" t="s">
        <v>45</v>
      </c>
      <c r="H1083" s="11">
        <v>83.92</v>
      </c>
      <c r="I1083" s="11">
        <v>83.92</v>
      </c>
      <c r="J1083" s="9" t="s">
        <v>89</v>
      </c>
      <c r="K1083" s="9" t="s">
        <v>44</v>
      </c>
    </row>
    <row r="1084" spans="1:11" x14ac:dyDescent="0.25">
      <c r="A1084" s="8" t="s">
        <v>70</v>
      </c>
      <c r="B1084" s="9" t="s">
        <v>71</v>
      </c>
      <c r="C1084" s="9" t="s">
        <v>49</v>
      </c>
      <c r="D1084" s="9" t="s">
        <v>109</v>
      </c>
      <c r="E1084" s="10">
        <v>2022</v>
      </c>
      <c r="F1084" s="10">
        <v>2023</v>
      </c>
      <c r="G1084" s="9" t="s">
        <v>46</v>
      </c>
      <c r="H1084" s="11">
        <v>40292.120000000003</v>
      </c>
      <c r="I1084" s="11">
        <v>40292.120000000003</v>
      </c>
      <c r="J1084" s="9" t="s">
        <v>89</v>
      </c>
      <c r="K1084" s="9" t="s">
        <v>44</v>
      </c>
    </row>
    <row r="1085" spans="1:11" x14ac:dyDescent="0.25">
      <c r="A1085" s="8" t="s">
        <v>72</v>
      </c>
      <c r="B1085" s="9" t="s">
        <v>73</v>
      </c>
      <c r="C1085" s="9" t="s">
        <v>53</v>
      </c>
      <c r="D1085" s="9" t="s">
        <v>109</v>
      </c>
      <c r="E1085" s="10">
        <v>2022</v>
      </c>
      <c r="F1085" s="10">
        <v>2023</v>
      </c>
      <c r="G1085" s="9" t="s">
        <v>42</v>
      </c>
      <c r="H1085" s="11">
        <v>16807.02</v>
      </c>
      <c r="I1085" s="11">
        <v>16807.02</v>
      </c>
      <c r="J1085" s="9" t="s">
        <v>89</v>
      </c>
      <c r="K1085" s="9" t="s">
        <v>44</v>
      </c>
    </row>
    <row r="1086" spans="1:11" x14ac:dyDescent="0.25">
      <c r="A1086" s="8" t="s">
        <v>72</v>
      </c>
      <c r="B1086" s="9" t="s">
        <v>73</v>
      </c>
      <c r="C1086" s="9" t="s">
        <v>53</v>
      </c>
      <c r="D1086" s="9" t="s">
        <v>109</v>
      </c>
      <c r="E1086" s="10">
        <v>2022</v>
      </c>
      <c r="F1086" s="10">
        <v>2023</v>
      </c>
      <c r="G1086" s="9" t="s">
        <v>45</v>
      </c>
      <c r="H1086" s="11">
        <v>34.68</v>
      </c>
      <c r="I1086" s="11">
        <v>34.68</v>
      </c>
      <c r="J1086" s="9" t="s">
        <v>89</v>
      </c>
      <c r="K1086" s="9" t="s">
        <v>44</v>
      </c>
    </row>
    <row r="1087" spans="1:11" x14ac:dyDescent="0.25">
      <c r="A1087" s="8" t="s">
        <v>72</v>
      </c>
      <c r="B1087" s="9" t="s">
        <v>73</v>
      </c>
      <c r="C1087" s="9" t="s">
        <v>53</v>
      </c>
      <c r="D1087" s="9" t="s">
        <v>109</v>
      </c>
      <c r="E1087" s="10">
        <v>2022</v>
      </c>
      <c r="F1087" s="10">
        <v>2023</v>
      </c>
      <c r="G1087" s="9" t="s">
        <v>46</v>
      </c>
      <c r="H1087" s="11">
        <v>108170.92</v>
      </c>
      <c r="I1087" s="11">
        <v>108170.92</v>
      </c>
      <c r="J1087" s="9" t="s">
        <v>89</v>
      </c>
      <c r="K1087" s="9" t="s">
        <v>44</v>
      </c>
    </row>
    <row r="1088" spans="1:11" x14ac:dyDescent="0.25">
      <c r="A1088" s="8" t="s">
        <v>72</v>
      </c>
      <c r="B1088" s="9" t="s">
        <v>73</v>
      </c>
      <c r="C1088" s="9" t="s">
        <v>53</v>
      </c>
      <c r="D1088" s="9" t="s">
        <v>109</v>
      </c>
      <c r="E1088" s="10">
        <v>2022</v>
      </c>
      <c r="F1088" s="10">
        <v>2023</v>
      </c>
      <c r="G1088" s="9" t="s">
        <v>50</v>
      </c>
      <c r="H1088" s="11">
        <v>0.9</v>
      </c>
      <c r="I1088" s="11">
        <v>0.9</v>
      </c>
      <c r="J1088" s="9" t="s">
        <v>89</v>
      </c>
      <c r="K1088" s="9" t="s">
        <v>44</v>
      </c>
    </row>
    <row r="1089" spans="1:11" x14ac:dyDescent="0.25">
      <c r="A1089" s="8" t="s">
        <v>74</v>
      </c>
      <c r="B1089" s="9" t="s">
        <v>75</v>
      </c>
      <c r="C1089" s="9" t="s">
        <v>40</v>
      </c>
      <c r="D1089" s="9" t="s">
        <v>109</v>
      </c>
      <c r="E1089" s="10">
        <v>2022</v>
      </c>
      <c r="F1089" s="10">
        <v>2023</v>
      </c>
      <c r="G1089" s="9" t="s">
        <v>42</v>
      </c>
      <c r="H1089" s="11">
        <v>13822.3</v>
      </c>
      <c r="I1089" s="11">
        <v>13822.3</v>
      </c>
      <c r="J1089" s="9" t="s">
        <v>89</v>
      </c>
      <c r="K1089" s="9" t="s">
        <v>44</v>
      </c>
    </row>
    <row r="1090" spans="1:11" x14ac:dyDescent="0.25">
      <c r="A1090" s="8" t="s">
        <v>74</v>
      </c>
      <c r="B1090" s="9" t="s">
        <v>75</v>
      </c>
      <c r="C1090" s="9" t="s">
        <v>40</v>
      </c>
      <c r="D1090" s="9" t="s">
        <v>109</v>
      </c>
      <c r="E1090" s="10">
        <v>2022</v>
      </c>
      <c r="F1090" s="10">
        <v>2023</v>
      </c>
      <c r="G1090" s="9" t="s">
        <v>45</v>
      </c>
      <c r="H1090" s="11">
        <v>4.6900000000000004</v>
      </c>
      <c r="I1090" s="11">
        <v>4.6900000000000004</v>
      </c>
      <c r="J1090" s="9" t="s">
        <v>89</v>
      </c>
      <c r="K1090" s="9" t="s">
        <v>44</v>
      </c>
    </row>
    <row r="1091" spans="1:11" x14ac:dyDescent="0.25">
      <c r="A1091" s="8" t="s">
        <v>74</v>
      </c>
      <c r="B1091" s="9" t="s">
        <v>75</v>
      </c>
      <c r="C1091" s="9" t="s">
        <v>40</v>
      </c>
      <c r="D1091" s="9" t="s">
        <v>109</v>
      </c>
      <c r="E1091" s="10">
        <v>2022</v>
      </c>
      <c r="F1091" s="10">
        <v>2023</v>
      </c>
      <c r="G1091" s="9" t="s">
        <v>46</v>
      </c>
      <c r="H1091" s="11">
        <v>29529.02</v>
      </c>
      <c r="I1091" s="11">
        <v>29529.02</v>
      </c>
      <c r="J1091" s="9" t="s">
        <v>89</v>
      </c>
      <c r="K1091" s="9" t="s">
        <v>44</v>
      </c>
    </row>
    <row r="1092" spans="1:11" x14ac:dyDescent="0.25">
      <c r="A1092" s="8" t="s">
        <v>76</v>
      </c>
      <c r="B1092" s="9" t="s">
        <v>77</v>
      </c>
      <c r="C1092" s="9" t="s">
        <v>53</v>
      </c>
      <c r="D1092" s="9" t="s">
        <v>109</v>
      </c>
      <c r="E1092" s="10">
        <v>2022</v>
      </c>
      <c r="F1092" s="10">
        <v>2023</v>
      </c>
      <c r="G1092" s="9" t="s">
        <v>42</v>
      </c>
      <c r="H1092" s="11">
        <v>510.9</v>
      </c>
      <c r="I1092" s="11">
        <v>510.9</v>
      </c>
      <c r="J1092" s="9" t="s">
        <v>89</v>
      </c>
      <c r="K1092" s="9" t="s">
        <v>44</v>
      </c>
    </row>
    <row r="1093" spans="1:11" x14ac:dyDescent="0.25">
      <c r="A1093" s="8" t="s">
        <v>76</v>
      </c>
      <c r="B1093" s="9" t="s">
        <v>77</v>
      </c>
      <c r="C1093" s="9" t="s">
        <v>53</v>
      </c>
      <c r="D1093" s="9" t="s">
        <v>109</v>
      </c>
      <c r="E1093" s="10">
        <v>2022</v>
      </c>
      <c r="F1093" s="10">
        <v>2023</v>
      </c>
      <c r="G1093" s="9" t="s">
        <v>45</v>
      </c>
      <c r="H1093" s="11">
        <v>8.6199999999999992</v>
      </c>
      <c r="I1093" s="11">
        <v>8.6199999999999992</v>
      </c>
      <c r="J1093" s="9" t="s">
        <v>89</v>
      </c>
      <c r="K1093" s="9" t="s">
        <v>44</v>
      </c>
    </row>
    <row r="1094" spans="1:11" x14ac:dyDescent="0.25">
      <c r="A1094" s="8" t="s">
        <v>76</v>
      </c>
      <c r="B1094" s="9" t="s">
        <v>77</v>
      </c>
      <c r="C1094" s="9" t="s">
        <v>53</v>
      </c>
      <c r="D1094" s="9" t="s">
        <v>109</v>
      </c>
      <c r="E1094" s="10">
        <v>2022</v>
      </c>
      <c r="F1094" s="10">
        <v>2023</v>
      </c>
      <c r="G1094" s="9" t="s">
        <v>46</v>
      </c>
      <c r="H1094" s="11">
        <v>24563.86</v>
      </c>
      <c r="I1094" s="11">
        <v>24563.86</v>
      </c>
      <c r="J1094" s="9" t="s">
        <v>89</v>
      </c>
      <c r="K1094" s="9" t="s">
        <v>44</v>
      </c>
    </row>
    <row r="1095" spans="1:11" x14ac:dyDescent="0.25">
      <c r="A1095" s="8" t="s">
        <v>76</v>
      </c>
      <c r="B1095" s="9" t="s">
        <v>77</v>
      </c>
      <c r="C1095" s="9" t="s">
        <v>53</v>
      </c>
      <c r="D1095" s="9" t="s">
        <v>109</v>
      </c>
      <c r="E1095" s="10">
        <v>2022</v>
      </c>
      <c r="F1095" s="10">
        <v>2023</v>
      </c>
      <c r="G1095" s="9" t="s">
        <v>50</v>
      </c>
      <c r="H1095" s="11">
        <v>0.43</v>
      </c>
      <c r="I1095" s="11">
        <v>0.43</v>
      </c>
      <c r="J1095" s="9" t="s">
        <v>89</v>
      </c>
      <c r="K1095" s="9" t="s">
        <v>44</v>
      </c>
    </row>
    <row r="1096" spans="1:11" x14ac:dyDescent="0.25">
      <c r="A1096" s="8" t="s">
        <v>78</v>
      </c>
      <c r="B1096" s="9" t="s">
        <v>79</v>
      </c>
      <c r="C1096" s="9" t="s">
        <v>53</v>
      </c>
      <c r="D1096" s="9" t="s">
        <v>109</v>
      </c>
      <c r="E1096" s="10">
        <v>2022</v>
      </c>
      <c r="F1096" s="10">
        <v>2023</v>
      </c>
      <c r="G1096" s="9" t="s">
        <v>42</v>
      </c>
      <c r="H1096" s="11">
        <v>2219.9299999999998</v>
      </c>
      <c r="I1096" s="11">
        <v>2219.9299999999998</v>
      </c>
      <c r="J1096" s="9" t="s">
        <v>89</v>
      </c>
      <c r="K1096" s="9" t="s">
        <v>44</v>
      </c>
    </row>
    <row r="1097" spans="1:11" x14ac:dyDescent="0.25">
      <c r="A1097" s="8" t="s">
        <v>78</v>
      </c>
      <c r="B1097" s="9" t="s">
        <v>79</v>
      </c>
      <c r="C1097" s="9" t="s">
        <v>53</v>
      </c>
      <c r="D1097" s="9" t="s">
        <v>109</v>
      </c>
      <c r="E1097" s="10">
        <v>2022</v>
      </c>
      <c r="F1097" s="10">
        <v>2023</v>
      </c>
      <c r="G1097" s="9" t="s">
        <v>45</v>
      </c>
      <c r="H1097" s="11">
        <v>13.55</v>
      </c>
      <c r="I1097" s="11">
        <v>13.55</v>
      </c>
      <c r="J1097" s="9" t="s">
        <v>89</v>
      </c>
      <c r="K1097" s="9" t="s">
        <v>44</v>
      </c>
    </row>
    <row r="1098" spans="1:11" x14ac:dyDescent="0.25">
      <c r="A1098" s="8" t="s">
        <v>78</v>
      </c>
      <c r="B1098" s="9" t="s">
        <v>79</v>
      </c>
      <c r="C1098" s="9" t="s">
        <v>53</v>
      </c>
      <c r="D1098" s="9" t="s">
        <v>109</v>
      </c>
      <c r="E1098" s="10">
        <v>2022</v>
      </c>
      <c r="F1098" s="10">
        <v>2023</v>
      </c>
      <c r="G1098" s="9" t="s">
        <v>46</v>
      </c>
      <c r="H1098" s="11">
        <v>54330.97</v>
      </c>
      <c r="I1098" s="11">
        <v>54330.97</v>
      </c>
      <c r="J1098" s="9" t="s">
        <v>89</v>
      </c>
      <c r="K1098" s="9" t="s">
        <v>44</v>
      </c>
    </row>
    <row r="1099" spans="1:11" x14ac:dyDescent="0.25">
      <c r="A1099" s="8" t="s">
        <v>80</v>
      </c>
      <c r="B1099" s="9" t="s">
        <v>81</v>
      </c>
      <c r="C1099" s="9" t="s">
        <v>49</v>
      </c>
      <c r="D1099" s="9" t="s">
        <v>109</v>
      </c>
      <c r="E1099" s="10">
        <v>2022</v>
      </c>
      <c r="F1099" s="10">
        <v>2023</v>
      </c>
      <c r="G1099" s="9" t="s">
        <v>42</v>
      </c>
      <c r="H1099" s="11">
        <v>56417.279999999999</v>
      </c>
      <c r="I1099" s="11">
        <v>56417.279999999999</v>
      </c>
      <c r="J1099" s="9" t="s">
        <v>89</v>
      </c>
      <c r="K1099" s="9" t="s">
        <v>44</v>
      </c>
    </row>
    <row r="1100" spans="1:11" x14ac:dyDescent="0.25">
      <c r="A1100" s="8" t="s">
        <v>80</v>
      </c>
      <c r="B1100" s="9" t="s">
        <v>81</v>
      </c>
      <c r="C1100" s="9" t="s">
        <v>49</v>
      </c>
      <c r="D1100" s="9" t="s">
        <v>109</v>
      </c>
      <c r="E1100" s="10">
        <v>2022</v>
      </c>
      <c r="F1100" s="10">
        <v>2023</v>
      </c>
      <c r="G1100" s="9" t="s">
        <v>45</v>
      </c>
      <c r="H1100" s="11">
        <v>143.83000000000001</v>
      </c>
      <c r="I1100" s="11">
        <v>143.83000000000001</v>
      </c>
      <c r="J1100" s="9" t="s">
        <v>89</v>
      </c>
      <c r="K1100" s="9" t="s">
        <v>44</v>
      </c>
    </row>
    <row r="1101" spans="1:11" x14ac:dyDescent="0.25">
      <c r="A1101" s="8" t="s">
        <v>80</v>
      </c>
      <c r="B1101" s="9" t="s">
        <v>81</v>
      </c>
      <c r="C1101" s="9" t="s">
        <v>49</v>
      </c>
      <c r="D1101" s="9" t="s">
        <v>109</v>
      </c>
      <c r="E1101" s="10">
        <v>2022</v>
      </c>
      <c r="F1101" s="10">
        <v>2023</v>
      </c>
      <c r="G1101" s="9" t="s">
        <v>46</v>
      </c>
      <c r="H1101" s="11">
        <v>232090.35</v>
      </c>
      <c r="I1101" s="11">
        <v>232090.35</v>
      </c>
      <c r="J1101" s="9" t="s">
        <v>89</v>
      </c>
      <c r="K1101" s="9" t="s">
        <v>44</v>
      </c>
    </row>
    <row r="1102" spans="1:11" x14ac:dyDescent="0.25">
      <c r="A1102" s="8" t="s">
        <v>80</v>
      </c>
      <c r="B1102" s="9" t="s">
        <v>81</v>
      </c>
      <c r="C1102" s="9" t="s">
        <v>49</v>
      </c>
      <c r="D1102" s="9" t="s">
        <v>109</v>
      </c>
      <c r="E1102" s="10">
        <v>2022</v>
      </c>
      <c r="F1102" s="10">
        <v>2023</v>
      </c>
      <c r="G1102" s="9" t="s">
        <v>50</v>
      </c>
      <c r="H1102" s="11">
        <v>1.65</v>
      </c>
      <c r="I1102" s="11">
        <v>1.65</v>
      </c>
      <c r="J1102" s="9" t="s">
        <v>89</v>
      </c>
      <c r="K1102" s="9" t="s">
        <v>44</v>
      </c>
    </row>
    <row r="1103" spans="1:11" x14ac:dyDescent="0.25">
      <c r="A1103" s="8" t="s">
        <v>82</v>
      </c>
      <c r="B1103" s="9" t="s">
        <v>83</v>
      </c>
      <c r="C1103" s="9" t="s">
        <v>40</v>
      </c>
      <c r="D1103" s="9" t="s">
        <v>109</v>
      </c>
      <c r="E1103" s="10">
        <v>2022</v>
      </c>
      <c r="F1103" s="10">
        <v>2023</v>
      </c>
      <c r="G1103" s="9" t="s">
        <v>42</v>
      </c>
      <c r="H1103" s="11">
        <v>4242.2700000000004</v>
      </c>
      <c r="I1103" s="11">
        <v>4242.2700000000004</v>
      </c>
      <c r="J1103" s="9" t="s">
        <v>89</v>
      </c>
      <c r="K1103" s="9" t="s">
        <v>44</v>
      </c>
    </row>
    <row r="1104" spans="1:11" x14ac:dyDescent="0.25">
      <c r="A1104" s="8" t="s">
        <v>82</v>
      </c>
      <c r="B1104" s="9" t="s">
        <v>83</v>
      </c>
      <c r="C1104" s="9" t="s">
        <v>40</v>
      </c>
      <c r="D1104" s="9" t="s">
        <v>109</v>
      </c>
      <c r="E1104" s="10">
        <v>2022</v>
      </c>
      <c r="F1104" s="10">
        <v>2023</v>
      </c>
      <c r="G1104" s="9" t="s">
        <v>45</v>
      </c>
      <c r="H1104" s="11">
        <v>6.16</v>
      </c>
      <c r="I1104" s="11">
        <v>6.16</v>
      </c>
      <c r="J1104" s="9" t="s">
        <v>89</v>
      </c>
      <c r="K1104" s="9" t="s">
        <v>44</v>
      </c>
    </row>
    <row r="1105" spans="1:11" x14ac:dyDescent="0.25">
      <c r="A1105" s="8" t="s">
        <v>82</v>
      </c>
      <c r="B1105" s="9" t="s">
        <v>83</v>
      </c>
      <c r="C1105" s="9" t="s">
        <v>40</v>
      </c>
      <c r="D1105" s="9" t="s">
        <v>109</v>
      </c>
      <c r="E1105" s="10">
        <v>2022</v>
      </c>
      <c r="F1105" s="10">
        <v>2023</v>
      </c>
      <c r="G1105" s="9" t="s">
        <v>46</v>
      </c>
      <c r="H1105" s="11">
        <v>22316.09</v>
      </c>
      <c r="I1105" s="11">
        <v>22316.09</v>
      </c>
      <c r="J1105" s="9" t="s">
        <v>89</v>
      </c>
      <c r="K1105" s="9" t="s">
        <v>44</v>
      </c>
    </row>
    <row r="1106" spans="1:11" x14ac:dyDescent="0.25">
      <c r="A1106" s="8" t="s">
        <v>84</v>
      </c>
      <c r="B1106" s="9" t="s">
        <v>85</v>
      </c>
      <c r="C1106" s="9" t="s">
        <v>85</v>
      </c>
      <c r="D1106" s="9" t="s">
        <v>109</v>
      </c>
      <c r="E1106" s="10">
        <v>2022</v>
      </c>
      <c r="F1106" s="10">
        <v>2023</v>
      </c>
      <c r="G1106" s="9" t="s">
        <v>42</v>
      </c>
      <c r="H1106" s="11">
        <v>172329.95</v>
      </c>
      <c r="I1106" s="11">
        <v>172329.95</v>
      </c>
      <c r="J1106" s="9" t="s">
        <v>89</v>
      </c>
      <c r="K1106" s="9" t="s">
        <v>44</v>
      </c>
    </row>
    <row r="1107" spans="1:11" x14ac:dyDescent="0.25">
      <c r="A1107" s="8" t="s">
        <v>84</v>
      </c>
      <c r="B1107" s="9" t="s">
        <v>85</v>
      </c>
      <c r="C1107" s="9" t="s">
        <v>85</v>
      </c>
      <c r="D1107" s="9" t="s">
        <v>109</v>
      </c>
      <c r="E1107" s="10">
        <v>2022</v>
      </c>
      <c r="F1107" s="10">
        <v>2023</v>
      </c>
      <c r="G1107" s="9" t="s">
        <v>45</v>
      </c>
      <c r="H1107" s="11">
        <v>337.03</v>
      </c>
      <c r="I1107" s="11">
        <v>337.03</v>
      </c>
      <c r="J1107" s="9" t="s">
        <v>89</v>
      </c>
      <c r="K1107" s="9" t="s">
        <v>44</v>
      </c>
    </row>
    <row r="1108" spans="1:11" x14ac:dyDescent="0.25">
      <c r="A1108" s="8" t="s">
        <v>84</v>
      </c>
      <c r="B1108" s="9" t="s">
        <v>85</v>
      </c>
      <c r="C1108" s="9" t="s">
        <v>85</v>
      </c>
      <c r="D1108" s="9" t="s">
        <v>109</v>
      </c>
      <c r="E1108" s="10">
        <v>2022</v>
      </c>
      <c r="F1108" s="10">
        <v>2023</v>
      </c>
      <c r="G1108" s="9" t="s">
        <v>46</v>
      </c>
      <c r="H1108" s="11">
        <v>81555.06</v>
      </c>
      <c r="I1108" s="11">
        <v>81555.06</v>
      </c>
      <c r="J1108" s="9" t="s">
        <v>89</v>
      </c>
      <c r="K1108" s="9" t="s">
        <v>44</v>
      </c>
    </row>
    <row r="1109" spans="1:11" x14ac:dyDescent="0.25">
      <c r="A1109" s="8" t="s">
        <v>84</v>
      </c>
      <c r="B1109" s="9" t="s">
        <v>85</v>
      </c>
      <c r="C1109" s="9" t="s">
        <v>85</v>
      </c>
      <c r="D1109" s="9" t="s">
        <v>109</v>
      </c>
      <c r="E1109" s="10">
        <v>2022</v>
      </c>
      <c r="F1109" s="10">
        <v>2023</v>
      </c>
      <c r="G1109" s="9" t="s">
        <v>50</v>
      </c>
      <c r="H1109" s="11">
        <v>0.23</v>
      </c>
      <c r="I1109" s="11">
        <v>0.23</v>
      </c>
      <c r="J1109" s="9" t="s">
        <v>89</v>
      </c>
      <c r="K1109" s="9" t="s">
        <v>44</v>
      </c>
    </row>
    <row r="1110" spans="1:11" x14ac:dyDescent="0.25">
      <c r="A1110" s="8" t="s">
        <v>86</v>
      </c>
      <c r="B1110" s="9" t="s">
        <v>87</v>
      </c>
      <c r="C1110" s="9" t="s">
        <v>69</v>
      </c>
      <c r="D1110" s="9" t="s">
        <v>109</v>
      </c>
      <c r="E1110" s="10">
        <v>2022</v>
      </c>
      <c r="F1110" s="10">
        <v>2023</v>
      </c>
      <c r="G1110" s="9" t="s">
        <v>42</v>
      </c>
      <c r="H1110" s="11">
        <v>143753.82</v>
      </c>
      <c r="I1110" s="11">
        <v>143753.82</v>
      </c>
      <c r="J1110" s="9" t="s">
        <v>89</v>
      </c>
      <c r="K1110" s="9" t="s">
        <v>44</v>
      </c>
    </row>
    <row r="1111" spans="1:11" x14ac:dyDescent="0.25">
      <c r="A1111" s="8" t="s">
        <v>86</v>
      </c>
      <c r="B1111" s="9" t="s">
        <v>87</v>
      </c>
      <c r="C1111" s="9" t="s">
        <v>69</v>
      </c>
      <c r="D1111" s="9" t="s">
        <v>109</v>
      </c>
      <c r="E1111" s="10">
        <v>2022</v>
      </c>
      <c r="F1111" s="10">
        <v>2023</v>
      </c>
      <c r="G1111" s="9" t="s">
        <v>45</v>
      </c>
      <c r="H1111" s="11">
        <v>33.06</v>
      </c>
      <c r="I1111" s="11">
        <v>33.06</v>
      </c>
      <c r="J1111" s="9" t="s">
        <v>89</v>
      </c>
      <c r="K1111" s="9" t="s">
        <v>44</v>
      </c>
    </row>
    <row r="1112" spans="1:11" x14ac:dyDescent="0.25">
      <c r="A1112" s="8" t="s">
        <v>86</v>
      </c>
      <c r="B1112" s="9" t="s">
        <v>87</v>
      </c>
      <c r="C1112" s="9" t="s">
        <v>69</v>
      </c>
      <c r="D1112" s="9" t="s">
        <v>109</v>
      </c>
      <c r="E1112" s="10">
        <v>2022</v>
      </c>
      <c r="F1112" s="10">
        <v>2023</v>
      </c>
      <c r="G1112" s="9" t="s">
        <v>46</v>
      </c>
      <c r="H1112" s="11">
        <v>21656.44</v>
      </c>
      <c r="I1112" s="11">
        <v>21656.44</v>
      </c>
      <c r="J1112" s="9" t="s">
        <v>89</v>
      </c>
      <c r="K1112" s="9" t="s">
        <v>44</v>
      </c>
    </row>
    <row r="1113" spans="1:11" x14ac:dyDescent="0.25">
      <c r="A1113" s="8" t="s">
        <v>86</v>
      </c>
      <c r="B1113" s="9" t="s">
        <v>87</v>
      </c>
      <c r="C1113" s="9" t="s">
        <v>69</v>
      </c>
      <c r="D1113" s="9" t="s">
        <v>109</v>
      </c>
      <c r="E1113" s="10">
        <v>2022</v>
      </c>
      <c r="F1113" s="10">
        <v>2023</v>
      </c>
      <c r="G1113" s="9" t="s">
        <v>50</v>
      </c>
      <c r="H1113" s="11">
        <v>0.88</v>
      </c>
      <c r="I1113" s="11">
        <v>0.88</v>
      </c>
      <c r="J1113" s="9" t="s">
        <v>89</v>
      </c>
      <c r="K1113" s="9" t="s">
        <v>44</v>
      </c>
    </row>
    <row r="1114" spans="1:11" x14ac:dyDescent="0.25">
      <c r="A1114" s="12" t="s">
        <v>38</v>
      </c>
      <c r="B1114" s="13" t="s">
        <v>39</v>
      </c>
      <c r="C1114" s="13" t="s">
        <v>40</v>
      </c>
      <c r="D1114" s="13" t="s">
        <v>110</v>
      </c>
      <c r="E1114" s="14">
        <v>2023</v>
      </c>
      <c r="F1114" s="14">
        <v>2024</v>
      </c>
      <c r="G1114" s="13" t="s">
        <v>45</v>
      </c>
      <c r="H1114" s="15">
        <v>12.14</v>
      </c>
      <c r="I1114" s="15">
        <v>12.14</v>
      </c>
      <c r="J1114" s="13" t="s">
        <v>105</v>
      </c>
      <c r="K1114" s="13" t="s">
        <v>95</v>
      </c>
    </row>
    <row r="1115" spans="1:11" x14ac:dyDescent="0.25">
      <c r="A1115" s="12" t="s">
        <v>47</v>
      </c>
      <c r="B1115" s="13" t="s">
        <v>48</v>
      </c>
      <c r="C1115" s="13" t="s">
        <v>49</v>
      </c>
      <c r="D1115" s="13" t="s">
        <v>110</v>
      </c>
      <c r="E1115" s="14">
        <v>2023</v>
      </c>
      <c r="F1115" s="14">
        <v>2024</v>
      </c>
      <c r="G1115" s="13" t="s">
        <v>45</v>
      </c>
      <c r="H1115" s="15">
        <v>78.45</v>
      </c>
      <c r="I1115" s="15">
        <v>78.45</v>
      </c>
      <c r="J1115" s="13" t="s">
        <v>105</v>
      </c>
      <c r="K1115" s="13" t="s">
        <v>95</v>
      </c>
    </row>
    <row r="1116" spans="1:11" x14ac:dyDescent="0.25">
      <c r="A1116" s="12" t="s">
        <v>51</v>
      </c>
      <c r="B1116" s="13" t="s">
        <v>52</v>
      </c>
      <c r="C1116" s="13" t="s">
        <v>53</v>
      </c>
      <c r="D1116" s="13" t="s">
        <v>110</v>
      </c>
      <c r="E1116" s="14">
        <v>2023</v>
      </c>
      <c r="F1116" s="14">
        <v>2024</v>
      </c>
      <c r="G1116" s="13" t="s">
        <v>45</v>
      </c>
      <c r="H1116" s="15">
        <v>55.82</v>
      </c>
      <c r="I1116" s="15">
        <v>55.82</v>
      </c>
      <c r="J1116" s="13" t="s">
        <v>105</v>
      </c>
      <c r="K1116" s="13" t="s">
        <v>95</v>
      </c>
    </row>
    <row r="1117" spans="1:11" x14ac:dyDescent="0.25">
      <c r="A1117" s="12" t="s">
        <v>54</v>
      </c>
      <c r="B1117" s="13" t="s">
        <v>55</v>
      </c>
      <c r="C1117" s="13" t="s">
        <v>49</v>
      </c>
      <c r="D1117" s="13" t="s">
        <v>110</v>
      </c>
      <c r="E1117" s="14">
        <v>2023</v>
      </c>
      <c r="F1117" s="14">
        <v>2024</v>
      </c>
      <c r="G1117" s="13" t="s">
        <v>45</v>
      </c>
      <c r="H1117" s="15">
        <v>0</v>
      </c>
      <c r="I1117" s="15">
        <v>0</v>
      </c>
      <c r="J1117" s="13" t="s">
        <v>105</v>
      </c>
      <c r="K1117" s="13" t="s">
        <v>95</v>
      </c>
    </row>
    <row r="1118" spans="1:11" x14ac:dyDescent="0.25">
      <c r="A1118" s="12" t="s">
        <v>56</v>
      </c>
      <c r="B1118" s="13" t="s">
        <v>57</v>
      </c>
      <c r="C1118" s="13" t="s">
        <v>40</v>
      </c>
      <c r="D1118" s="13" t="s">
        <v>110</v>
      </c>
      <c r="E1118" s="14">
        <v>2023</v>
      </c>
      <c r="F1118" s="14">
        <v>2024</v>
      </c>
      <c r="G1118" s="13" t="s">
        <v>45</v>
      </c>
      <c r="H1118" s="15">
        <v>4.0599999999999996</v>
      </c>
      <c r="I1118" s="15">
        <v>4.0599999999999996</v>
      </c>
      <c r="J1118" s="13" t="s">
        <v>105</v>
      </c>
      <c r="K1118" s="13" t="s">
        <v>95</v>
      </c>
    </row>
    <row r="1119" spans="1:11" x14ac:dyDescent="0.25">
      <c r="A1119" s="12" t="s">
        <v>58</v>
      </c>
      <c r="B1119" s="13" t="s">
        <v>59</v>
      </c>
      <c r="C1119" s="13" t="s">
        <v>49</v>
      </c>
      <c r="D1119" s="13" t="s">
        <v>110</v>
      </c>
      <c r="E1119" s="14">
        <v>2023</v>
      </c>
      <c r="F1119" s="14">
        <v>2024</v>
      </c>
      <c r="G1119" s="13" t="s">
        <v>45</v>
      </c>
      <c r="H1119" s="15">
        <v>47.16</v>
      </c>
      <c r="I1119" s="15">
        <v>47.16</v>
      </c>
      <c r="J1119" s="13" t="s">
        <v>105</v>
      </c>
      <c r="K1119" s="13" t="s">
        <v>95</v>
      </c>
    </row>
    <row r="1120" spans="1:11" x14ac:dyDescent="0.25">
      <c r="A1120" s="12" t="s">
        <v>60</v>
      </c>
      <c r="B1120" s="13" t="s">
        <v>61</v>
      </c>
      <c r="C1120" s="13" t="s">
        <v>40</v>
      </c>
      <c r="D1120" s="13" t="s">
        <v>110</v>
      </c>
      <c r="E1120" s="14">
        <v>2023</v>
      </c>
      <c r="F1120" s="14">
        <v>2024</v>
      </c>
      <c r="G1120" s="13" t="s">
        <v>45</v>
      </c>
      <c r="H1120" s="15">
        <v>266.64</v>
      </c>
      <c r="I1120" s="15">
        <v>266.64</v>
      </c>
      <c r="J1120" s="13" t="s">
        <v>105</v>
      </c>
      <c r="K1120" s="13" t="s">
        <v>95</v>
      </c>
    </row>
    <row r="1121" spans="1:11" x14ac:dyDescent="0.25">
      <c r="A1121" s="12" t="s">
        <v>62</v>
      </c>
      <c r="B1121" s="13" t="s">
        <v>63</v>
      </c>
      <c r="C1121" s="13" t="s">
        <v>40</v>
      </c>
      <c r="D1121" s="13" t="s">
        <v>110</v>
      </c>
      <c r="E1121" s="14">
        <v>2023</v>
      </c>
      <c r="F1121" s="14">
        <v>2024</v>
      </c>
      <c r="G1121" s="13" t="s">
        <v>45</v>
      </c>
      <c r="H1121" s="15">
        <v>211.96</v>
      </c>
      <c r="I1121" s="15">
        <v>211.96</v>
      </c>
      <c r="J1121" s="13" t="s">
        <v>105</v>
      </c>
      <c r="K1121" s="13" t="s">
        <v>95</v>
      </c>
    </row>
    <row r="1122" spans="1:11" x14ac:dyDescent="0.25">
      <c r="A1122" s="12" t="s">
        <v>65</v>
      </c>
      <c r="B1122" s="13" t="s">
        <v>66</v>
      </c>
      <c r="C1122" s="13" t="s">
        <v>40</v>
      </c>
      <c r="D1122" s="13" t="s">
        <v>110</v>
      </c>
      <c r="E1122" s="14">
        <v>2023</v>
      </c>
      <c r="F1122" s="14">
        <v>2024</v>
      </c>
      <c r="G1122" s="13" t="s">
        <v>45</v>
      </c>
      <c r="H1122" s="15">
        <v>13.3</v>
      </c>
      <c r="I1122" s="15">
        <v>13.3</v>
      </c>
      <c r="J1122" s="13" t="s">
        <v>105</v>
      </c>
      <c r="K1122" s="13" t="s">
        <v>95</v>
      </c>
    </row>
    <row r="1123" spans="1:11" x14ac:dyDescent="0.25">
      <c r="A1123" s="12" t="s">
        <v>67</v>
      </c>
      <c r="B1123" s="13" t="s">
        <v>68</v>
      </c>
      <c r="C1123" s="13" t="s">
        <v>69</v>
      </c>
      <c r="D1123" s="13" t="s">
        <v>110</v>
      </c>
      <c r="E1123" s="14">
        <v>2023</v>
      </c>
      <c r="F1123" s="14">
        <v>2024</v>
      </c>
      <c r="G1123" s="13" t="s">
        <v>45</v>
      </c>
      <c r="H1123" s="15">
        <v>87.44</v>
      </c>
      <c r="I1123" s="15">
        <v>87.44</v>
      </c>
      <c r="J1123" s="13" t="s">
        <v>105</v>
      </c>
      <c r="K1123" s="13" t="s">
        <v>95</v>
      </c>
    </row>
    <row r="1124" spans="1:11" x14ac:dyDescent="0.25">
      <c r="A1124" s="12" t="s">
        <v>70</v>
      </c>
      <c r="B1124" s="13" t="s">
        <v>71</v>
      </c>
      <c r="C1124" s="13" t="s">
        <v>49</v>
      </c>
      <c r="D1124" s="13" t="s">
        <v>110</v>
      </c>
      <c r="E1124" s="14">
        <v>2023</v>
      </c>
      <c r="F1124" s="14">
        <v>2024</v>
      </c>
      <c r="G1124" s="13" t="s">
        <v>45</v>
      </c>
      <c r="H1124" s="15">
        <v>122.98</v>
      </c>
      <c r="I1124" s="15">
        <v>122.98</v>
      </c>
      <c r="J1124" s="13" t="s">
        <v>105</v>
      </c>
      <c r="K1124" s="13" t="s">
        <v>95</v>
      </c>
    </row>
    <row r="1125" spans="1:11" x14ac:dyDescent="0.25">
      <c r="A1125" s="12" t="s">
        <v>72</v>
      </c>
      <c r="B1125" s="13" t="s">
        <v>73</v>
      </c>
      <c r="C1125" s="13" t="s">
        <v>53</v>
      </c>
      <c r="D1125" s="13" t="s">
        <v>110</v>
      </c>
      <c r="E1125" s="14">
        <v>2023</v>
      </c>
      <c r="F1125" s="14">
        <v>2024</v>
      </c>
      <c r="G1125" s="13" t="s">
        <v>45</v>
      </c>
      <c r="H1125" s="15">
        <v>37.6</v>
      </c>
      <c r="I1125" s="15">
        <v>37.6</v>
      </c>
      <c r="J1125" s="13" t="s">
        <v>105</v>
      </c>
      <c r="K1125" s="13" t="s">
        <v>95</v>
      </c>
    </row>
    <row r="1126" spans="1:11" x14ac:dyDescent="0.25">
      <c r="A1126" s="12" t="s">
        <v>74</v>
      </c>
      <c r="B1126" s="13" t="s">
        <v>75</v>
      </c>
      <c r="C1126" s="13" t="s">
        <v>40</v>
      </c>
      <c r="D1126" s="13" t="s">
        <v>110</v>
      </c>
      <c r="E1126" s="14">
        <v>2023</v>
      </c>
      <c r="F1126" s="14">
        <v>2024</v>
      </c>
      <c r="G1126" s="13" t="s">
        <v>45</v>
      </c>
      <c r="H1126" s="15">
        <v>0.98</v>
      </c>
      <c r="I1126" s="15">
        <v>0.98</v>
      </c>
      <c r="J1126" s="13" t="s">
        <v>105</v>
      </c>
      <c r="K1126" s="13" t="s">
        <v>95</v>
      </c>
    </row>
    <row r="1127" spans="1:11" x14ac:dyDescent="0.25">
      <c r="A1127" s="12" t="s">
        <v>76</v>
      </c>
      <c r="B1127" s="13" t="s">
        <v>77</v>
      </c>
      <c r="C1127" s="13" t="s">
        <v>53</v>
      </c>
      <c r="D1127" s="13" t="s">
        <v>110</v>
      </c>
      <c r="E1127" s="14">
        <v>2023</v>
      </c>
      <c r="F1127" s="14">
        <v>2024</v>
      </c>
      <c r="G1127" s="13" t="s">
        <v>45</v>
      </c>
      <c r="H1127" s="15">
        <v>12.35</v>
      </c>
      <c r="I1127" s="15">
        <v>12.35</v>
      </c>
      <c r="J1127" s="13" t="s">
        <v>105</v>
      </c>
      <c r="K1127" s="13" t="s">
        <v>95</v>
      </c>
    </row>
    <row r="1128" spans="1:11" x14ac:dyDescent="0.25">
      <c r="A1128" s="12" t="s">
        <v>78</v>
      </c>
      <c r="B1128" s="13" t="s">
        <v>79</v>
      </c>
      <c r="C1128" s="13" t="s">
        <v>53</v>
      </c>
      <c r="D1128" s="13" t="s">
        <v>110</v>
      </c>
      <c r="E1128" s="14">
        <v>2023</v>
      </c>
      <c r="F1128" s="14">
        <v>2024</v>
      </c>
      <c r="G1128" s="13" t="s">
        <v>45</v>
      </c>
      <c r="H1128" s="15">
        <v>17.03</v>
      </c>
      <c r="I1128" s="15">
        <v>17.03</v>
      </c>
      <c r="J1128" s="13" t="s">
        <v>105</v>
      </c>
      <c r="K1128" s="13" t="s">
        <v>95</v>
      </c>
    </row>
    <row r="1129" spans="1:11" x14ac:dyDescent="0.25">
      <c r="A1129" s="12" t="s">
        <v>80</v>
      </c>
      <c r="B1129" s="13" t="s">
        <v>81</v>
      </c>
      <c r="C1129" s="13" t="s">
        <v>49</v>
      </c>
      <c r="D1129" s="13" t="s">
        <v>110</v>
      </c>
      <c r="E1129" s="14">
        <v>2023</v>
      </c>
      <c r="F1129" s="14">
        <v>2024</v>
      </c>
      <c r="G1129" s="13" t="s">
        <v>45</v>
      </c>
      <c r="H1129" s="15">
        <v>211.29</v>
      </c>
      <c r="I1129" s="15">
        <v>211.29</v>
      </c>
      <c r="J1129" s="13" t="s">
        <v>105</v>
      </c>
      <c r="K1129" s="13" t="s">
        <v>95</v>
      </c>
    </row>
    <row r="1130" spans="1:11" x14ac:dyDescent="0.25">
      <c r="A1130" s="12" t="s">
        <v>82</v>
      </c>
      <c r="B1130" s="13" t="s">
        <v>83</v>
      </c>
      <c r="C1130" s="13" t="s">
        <v>40</v>
      </c>
      <c r="D1130" s="13" t="s">
        <v>110</v>
      </c>
      <c r="E1130" s="14">
        <v>2023</v>
      </c>
      <c r="F1130" s="14">
        <v>2024</v>
      </c>
      <c r="G1130" s="13" t="s">
        <v>45</v>
      </c>
      <c r="H1130" s="15">
        <v>5.87</v>
      </c>
      <c r="I1130" s="15">
        <v>5.87</v>
      </c>
      <c r="J1130" s="13" t="s">
        <v>105</v>
      </c>
      <c r="K1130" s="13" t="s">
        <v>95</v>
      </c>
    </row>
    <row r="1131" spans="1:11" x14ac:dyDescent="0.25">
      <c r="A1131" s="12" t="s">
        <v>84</v>
      </c>
      <c r="B1131" s="13" t="s">
        <v>85</v>
      </c>
      <c r="C1131" s="13" t="s">
        <v>85</v>
      </c>
      <c r="D1131" s="13" t="s">
        <v>110</v>
      </c>
      <c r="E1131" s="14">
        <v>2023</v>
      </c>
      <c r="F1131" s="14">
        <v>2024</v>
      </c>
      <c r="G1131" s="13" t="s">
        <v>45</v>
      </c>
      <c r="H1131" s="15">
        <v>398.75</v>
      </c>
      <c r="I1131" s="15">
        <v>398.75</v>
      </c>
      <c r="J1131" s="13" t="s">
        <v>105</v>
      </c>
      <c r="K1131" s="13" t="s">
        <v>95</v>
      </c>
    </row>
    <row r="1132" spans="1:11" x14ac:dyDescent="0.25">
      <c r="A1132" s="12" t="s">
        <v>86</v>
      </c>
      <c r="B1132" s="13" t="s">
        <v>87</v>
      </c>
      <c r="C1132" s="13" t="s">
        <v>69</v>
      </c>
      <c r="D1132" s="13" t="s">
        <v>110</v>
      </c>
      <c r="E1132" s="14">
        <v>2023</v>
      </c>
      <c r="F1132" s="14">
        <v>2024</v>
      </c>
      <c r="G1132" s="13" t="s">
        <v>45</v>
      </c>
      <c r="H1132" s="15">
        <v>12.99</v>
      </c>
      <c r="I1132" s="15">
        <v>12.99</v>
      </c>
      <c r="J1132" s="13" t="s">
        <v>105</v>
      </c>
      <c r="K1132" s="13" t="s">
        <v>95</v>
      </c>
    </row>
  </sheetData>
  <autoFilter ref="A1:K11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8"/>
  <sheetViews>
    <sheetView showGridLines="0" workbookViewId="0"/>
  </sheetViews>
  <sheetFormatPr baseColWidth="10" defaultColWidth="9.140625" defaultRowHeight="15" x14ac:dyDescent="0.25"/>
  <sheetData>
    <row r="2" spans="2:12" ht="28.5" x14ac:dyDescent="0.45">
      <c r="B2" s="1" t="s">
        <v>111</v>
      </c>
    </row>
    <row r="3" spans="2:12" ht="15.75" x14ac:dyDescent="0.25">
      <c r="B3" s="3" t="s">
        <v>112</v>
      </c>
    </row>
    <row r="5" spans="2:12" x14ac:dyDescent="0.25">
      <c r="B5" s="40">
        <f>'Serie regional'!E20</f>
        <v>46845.52</v>
      </c>
      <c r="C5" s="39"/>
      <c r="E5" s="40">
        <f>'Serie regional'!E20/24</f>
        <v>1951.8966666666665</v>
      </c>
      <c r="F5" s="39"/>
      <c r="H5" s="38" t="str">
        <f>INDEX('Serie regional'!A2:A19,MATCH(MAX('Serie regional'!E2:E19),'Serie regional'!E2:E19,0))</f>
        <v>2015-2016</v>
      </c>
      <c r="I5" s="39"/>
      <c r="K5" s="38" t="str">
        <f>Aux!G4</f>
        <v>Turbo</v>
      </c>
      <c r="L5" s="39"/>
    </row>
    <row r="6" spans="2:12" x14ac:dyDescent="0.25">
      <c r="B6" s="39"/>
      <c r="C6" s="39"/>
      <c r="E6" s="39"/>
      <c r="F6" s="39"/>
      <c r="H6" s="39"/>
      <c r="I6" s="39"/>
      <c r="K6" s="39"/>
      <c r="L6" s="39"/>
    </row>
    <row r="7" spans="2:12" x14ac:dyDescent="0.25">
      <c r="B7" s="16" t="s">
        <v>113</v>
      </c>
      <c r="E7" s="16" t="s">
        <v>114</v>
      </c>
      <c r="H7" s="16" t="s">
        <v>115</v>
      </c>
      <c r="K7" s="16" t="s">
        <v>116</v>
      </c>
    </row>
    <row r="8" spans="2:12" x14ac:dyDescent="0.25">
      <c r="B8" s="17" t="s">
        <v>117</v>
      </c>
    </row>
  </sheetData>
  <mergeCells count="4">
    <mergeCell ref="H5:I6"/>
    <mergeCell ref="E5:F6"/>
    <mergeCell ref="K5:L6"/>
    <mergeCell ref="B5:C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8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18" customWidth="1"/>
    <col min="3" max="3" width="12" customWidth="1"/>
    <col min="4" max="4" width="16" customWidth="1"/>
    <col min="5" max="5" width="10" customWidth="1"/>
  </cols>
  <sheetData>
    <row r="2" spans="1:11" ht="28.5" x14ac:dyDescent="0.45">
      <c r="B2" s="1" t="s">
        <v>118</v>
      </c>
    </row>
    <row r="4" spans="1:11" ht="18.75" x14ac:dyDescent="0.3">
      <c r="B4" s="5" t="s">
        <v>119</v>
      </c>
      <c r="E4" s="18" t="s">
        <v>39</v>
      </c>
      <c r="G4" s="17" t="s">
        <v>120</v>
      </c>
    </row>
    <row r="7" spans="1:11" ht="21" x14ac:dyDescent="0.35">
      <c r="B7" s="19">
        <f>SUM(B11:B28)</f>
        <v>311.53999999999996</v>
      </c>
      <c r="E7" s="20">
        <f>B7/'Serie regional'!$E$20</f>
        <v>6.6503691281471523E-3</v>
      </c>
      <c r="H7" s="21" t="str">
        <f>INDEX(A11:A28,MATCH(MAX(B11:B28),B11:B28,0))</f>
        <v>2012-2013</v>
      </c>
      <c r="K7" s="21" t="str">
        <f>INDEX(Aux!$B$4:$B$22,MATCH($E$4,Aux!$A$4:$A$22,0))</f>
        <v>Nutibara</v>
      </c>
    </row>
    <row r="8" spans="1:11" x14ac:dyDescent="0.25">
      <c r="B8" s="16" t="s">
        <v>121</v>
      </c>
      <c r="E8" s="16" t="s">
        <v>122</v>
      </c>
      <c r="H8" s="16" t="s">
        <v>115</v>
      </c>
      <c r="K8" s="16" t="s">
        <v>29</v>
      </c>
    </row>
    <row r="10" spans="1:11" x14ac:dyDescent="0.25">
      <c r="A10" s="7" t="s">
        <v>30</v>
      </c>
      <c r="B10" s="7" t="s">
        <v>123</v>
      </c>
      <c r="C10" s="7" t="s">
        <v>35</v>
      </c>
      <c r="D10" s="7" t="s">
        <v>124</v>
      </c>
      <c r="E10" s="7" t="s">
        <v>37</v>
      </c>
    </row>
    <row r="11" spans="1:11" x14ac:dyDescent="0.25">
      <c r="A11" s="8" t="str">
        <f>'Serie regional'!A2</f>
        <v>2000-2002</v>
      </c>
      <c r="B11" s="11">
        <f>SUMIFS('Serie municipal'!$H$2:$H$1132,'Serie municipal'!$B$2:$B$1132,$E$4,'Serie municipal'!$G$2:$G$1132,"Deforestación",'Serie municipal'!$D$2:$D$1132,$A$11)</f>
        <v>9.0500000000000007</v>
      </c>
      <c r="C11" s="11">
        <f>B11/'Serie regional'!D2</f>
        <v>4.5250000000000004</v>
      </c>
      <c r="D11" s="22">
        <f>'Serie regional'!F2</f>
        <v>795.15000000000009</v>
      </c>
      <c r="E11" s="9" t="str">
        <f>'Serie regional'!G2</f>
        <v>No</v>
      </c>
    </row>
    <row r="12" spans="1:11" x14ac:dyDescent="0.25">
      <c r="A12" s="8" t="str">
        <f>'Serie regional'!A3</f>
        <v>2002-2004</v>
      </c>
      <c r="B12" s="11">
        <f>SUMIFS('Serie municipal'!$H$2:$H$1132,'Serie municipal'!$B$2:$B$1132,$E$4,'Serie municipal'!$G$2:$G$1132,"Deforestación",'Serie municipal'!$D$2:$D$1132,$A$12)</f>
        <v>8.99</v>
      </c>
      <c r="C12" s="11">
        <f>B12/'Serie regional'!D3</f>
        <v>4.4950000000000001</v>
      </c>
      <c r="D12" s="22">
        <f>'Serie regional'!F3</f>
        <v>1858.9550000000002</v>
      </c>
      <c r="E12" s="9" t="str">
        <f>'Serie regional'!G3</f>
        <v>No</v>
      </c>
    </row>
    <row r="13" spans="1:11" x14ac:dyDescent="0.25">
      <c r="A13" s="8" t="str">
        <f>'Serie regional'!A4</f>
        <v>2004-2006</v>
      </c>
      <c r="B13" s="11">
        <f>SUMIFS('Serie municipal'!$H$2:$H$1132,'Serie municipal'!$B$2:$B$1132,$E$4,'Serie municipal'!$G$2:$G$1132,"Deforestación",'Serie municipal'!$D$2:$D$1132,$A$13)</f>
        <v>0</v>
      </c>
      <c r="C13" s="11">
        <f>B13/'Serie regional'!D4</f>
        <v>0</v>
      </c>
      <c r="D13" s="22">
        <f>'Serie regional'!F4</f>
        <v>1510.825</v>
      </c>
      <c r="E13" s="9" t="str">
        <f>'Serie regional'!G4</f>
        <v>No</v>
      </c>
    </row>
    <row r="14" spans="1:11" x14ac:dyDescent="0.25">
      <c r="A14" s="8" t="str">
        <f>'Serie regional'!A5</f>
        <v>2006-2008</v>
      </c>
      <c r="B14" s="11">
        <f>SUMIFS('Serie municipal'!$H$2:$H$1132,'Serie municipal'!$B$2:$B$1132,$E$4,'Serie municipal'!$G$2:$G$1132,"Deforestación",'Serie municipal'!$D$2:$D$1132,$A$14)</f>
        <v>1.47</v>
      </c>
      <c r="C14" s="11">
        <f>B14/'Serie regional'!D5</f>
        <v>0.73499999999999999</v>
      </c>
      <c r="D14" s="22">
        <f>'Serie regional'!F5</f>
        <v>1269.7549999999999</v>
      </c>
      <c r="E14" s="9" t="str">
        <f>'Serie regional'!G5</f>
        <v>No</v>
      </c>
    </row>
    <row r="15" spans="1:11" x14ac:dyDescent="0.25">
      <c r="A15" s="8" t="str">
        <f>'Serie regional'!A6</f>
        <v>2008-2010</v>
      </c>
      <c r="B15" s="11">
        <f>SUMIFS('Serie municipal'!$H$2:$H$1132,'Serie municipal'!$B$2:$B$1132,$E$4,'Serie municipal'!$G$2:$G$1132,"Deforestación",'Serie municipal'!$D$2:$D$1132,$A$15)</f>
        <v>2.95</v>
      </c>
      <c r="C15" s="11">
        <f>B15/'Serie regional'!D6</f>
        <v>1.4750000000000001</v>
      </c>
      <c r="D15" s="22">
        <f>'Serie regional'!F6</f>
        <v>1460.6799999999998</v>
      </c>
      <c r="E15" s="9" t="str">
        <f>'Serie regional'!G6</f>
        <v>No</v>
      </c>
    </row>
    <row r="16" spans="1:11" x14ac:dyDescent="0.25">
      <c r="A16" s="8" t="str">
        <f>'Serie regional'!A7</f>
        <v>2010-2012</v>
      </c>
      <c r="B16" s="11">
        <f>SUMIFS('Serie municipal'!$H$2:$H$1132,'Serie municipal'!$B$2:$B$1132,$E$4,'Serie municipal'!$G$2:$G$1132,"Deforestación",'Serie municipal'!$D$2:$D$1132,$A$16)</f>
        <v>74.44</v>
      </c>
      <c r="C16" s="11">
        <f>B16/'Serie regional'!D7</f>
        <v>37.22</v>
      </c>
      <c r="D16" s="22">
        <f>'Serie regional'!F7</f>
        <v>1567.4500000000003</v>
      </c>
      <c r="E16" s="9" t="str">
        <f>'Serie regional'!G7</f>
        <v>Sí</v>
      </c>
    </row>
    <row r="17" spans="1:5" x14ac:dyDescent="0.25">
      <c r="A17" s="8" t="str">
        <f>'Serie regional'!A8</f>
        <v>2012-2013</v>
      </c>
      <c r="B17" s="11">
        <f>SUMIFS('Serie municipal'!$H$2:$H$1132,'Serie municipal'!$B$2:$B$1132,$E$4,'Serie municipal'!$G$2:$G$1132,"Deforestación",'Serie municipal'!$D$2:$D$1132,$A$17)</f>
        <v>87.29</v>
      </c>
      <c r="C17" s="11">
        <f>B17/'Serie regional'!D8</f>
        <v>87.29</v>
      </c>
      <c r="D17" s="22">
        <f>'Serie regional'!F8</f>
        <v>2273.9399999999996</v>
      </c>
      <c r="E17" s="9" t="str">
        <f>'Serie regional'!G8</f>
        <v>No</v>
      </c>
    </row>
    <row r="18" spans="1:5" x14ac:dyDescent="0.25">
      <c r="A18" s="8" t="str">
        <f>'Serie regional'!A9</f>
        <v>2013-2014</v>
      </c>
      <c r="B18" s="11">
        <f>SUMIFS('Serie municipal'!$H$2:$H$1132,'Serie municipal'!$B$2:$B$1132,$E$4,'Serie municipal'!$G$2:$G$1132,"Deforestación",'Serie municipal'!$D$2:$D$1132,$A$18)</f>
        <v>15.25</v>
      </c>
      <c r="C18" s="11">
        <f>B18/'Serie regional'!D9</f>
        <v>15.25</v>
      </c>
      <c r="D18" s="22">
        <f>'Serie regional'!F9</f>
        <v>3576.99</v>
      </c>
      <c r="E18" s="9" t="str">
        <f>'Serie regional'!G9</f>
        <v>No</v>
      </c>
    </row>
    <row r="19" spans="1:5" x14ac:dyDescent="0.25">
      <c r="A19" s="8" t="str">
        <f>'Serie regional'!A10</f>
        <v>2014-2015</v>
      </c>
      <c r="B19" s="11">
        <f>SUMIFS('Serie municipal'!$H$2:$H$1132,'Serie municipal'!$B$2:$B$1132,$E$4,'Serie municipal'!$G$2:$G$1132,"Deforestación",'Serie municipal'!$D$2:$D$1132,$A$19)</f>
        <v>17.09</v>
      </c>
      <c r="C19" s="11">
        <f>B19/'Serie regional'!D10</f>
        <v>17.09</v>
      </c>
      <c r="D19" s="22">
        <f>'Serie regional'!F10</f>
        <v>2887.4900000000002</v>
      </c>
      <c r="E19" s="9" t="str">
        <f>'Serie regional'!G10</f>
        <v>No</v>
      </c>
    </row>
    <row r="20" spans="1:5" x14ac:dyDescent="0.25">
      <c r="A20" s="8" t="str">
        <f>'Serie regional'!A11</f>
        <v>2015-2016</v>
      </c>
      <c r="B20" s="11">
        <f>SUMIFS('Serie municipal'!$H$2:$H$1132,'Serie municipal'!$B$2:$B$1132,$E$4,'Serie municipal'!$G$2:$G$1132,"Deforestación",'Serie municipal'!$D$2:$D$1132,$A$20)</f>
        <v>25.12</v>
      </c>
      <c r="C20" s="11">
        <f>B20/'Serie regional'!D11</f>
        <v>25.12</v>
      </c>
      <c r="D20" s="22">
        <f>'Serie regional'!F11</f>
        <v>5771.04</v>
      </c>
      <c r="E20" s="9" t="str">
        <f>'Serie regional'!G11</f>
        <v>No</v>
      </c>
    </row>
    <row r="21" spans="1:5" x14ac:dyDescent="0.25">
      <c r="A21" s="8" t="str">
        <f>'Serie regional'!A12</f>
        <v>2016-2017</v>
      </c>
      <c r="B21" s="11">
        <f>SUMIFS('Serie municipal'!$H$2:$H$1132,'Serie municipal'!$B$2:$B$1132,$E$4,'Serie municipal'!$G$2:$G$1132,"Deforestación",'Serie municipal'!$D$2:$D$1132,$A$21)</f>
        <v>35.659999999999997</v>
      </c>
      <c r="C21" s="11">
        <f>B21/'Serie regional'!D12</f>
        <v>35.659999999999997</v>
      </c>
      <c r="D21" s="22">
        <f>'Serie regional'!F12</f>
        <v>3938.3900000000003</v>
      </c>
      <c r="E21" s="9" t="str">
        <f>'Serie regional'!G12</f>
        <v>No</v>
      </c>
    </row>
    <row r="22" spans="1:5" x14ac:dyDescent="0.25">
      <c r="A22" s="8" t="str">
        <f>'Serie regional'!A13</f>
        <v>2017-2018</v>
      </c>
      <c r="B22" s="11">
        <f>SUMIFS('Serie municipal'!$H$2:$H$1132,'Serie municipal'!$B$2:$B$1132,$E$4,'Serie municipal'!$G$2:$G$1132,"Deforestación",'Serie municipal'!$D$2:$D$1132,$A$22)</f>
        <v>4.28</v>
      </c>
      <c r="C22" s="11">
        <f>B22/'Serie regional'!D13</f>
        <v>4.28</v>
      </c>
      <c r="D22" s="22">
        <f>'Serie regional'!F13</f>
        <v>1765.1599999999999</v>
      </c>
      <c r="E22" s="9" t="str">
        <f>'Serie regional'!G13</f>
        <v>No</v>
      </c>
    </row>
    <row r="23" spans="1:5" x14ac:dyDescent="0.25">
      <c r="A23" s="8" t="str">
        <f>'Serie regional'!A14</f>
        <v>2018-2019</v>
      </c>
      <c r="B23" s="11">
        <f>SUMIFS('Serie municipal'!$H$2:$H$1132,'Serie municipal'!$B$2:$B$1132,$E$4,'Serie municipal'!$G$2:$G$1132,"Deforestación",'Serie municipal'!$D$2:$D$1132,$A$23)</f>
        <v>2.7</v>
      </c>
      <c r="C23" s="11">
        <f>B23/'Serie regional'!D14</f>
        <v>2.7</v>
      </c>
      <c r="D23" s="22">
        <f>'Serie regional'!F14</f>
        <v>1800.17</v>
      </c>
      <c r="E23" s="9" t="str">
        <f>'Serie regional'!G14</f>
        <v>Sí</v>
      </c>
    </row>
    <row r="24" spans="1:5" x14ac:dyDescent="0.25">
      <c r="A24" s="8" t="str">
        <f>'Serie regional'!A15</f>
        <v>2019-2020</v>
      </c>
      <c r="B24" s="11">
        <f>SUMIFS('Serie municipal'!$H$2:$H$1132,'Serie municipal'!$B$2:$B$1132,$E$4,'Serie municipal'!$G$2:$G$1132,"Deforestación",'Serie municipal'!$D$2:$D$1132,$A$24)</f>
        <v>1.1200000000000001</v>
      </c>
      <c r="C24" s="11">
        <f>B24/'Serie regional'!D15</f>
        <v>1.1200000000000001</v>
      </c>
      <c r="D24" s="22">
        <f>'Serie regional'!F15</f>
        <v>1737.29</v>
      </c>
      <c r="E24" s="9" t="str">
        <f>'Serie regional'!G15</f>
        <v>No</v>
      </c>
    </row>
    <row r="25" spans="1:5" x14ac:dyDescent="0.25">
      <c r="A25" s="8" t="str">
        <f>'Serie regional'!A16</f>
        <v>2020-2021</v>
      </c>
      <c r="B25" s="11">
        <f>SUMIFS('Serie municipal'!$H$2:$H$1132,'Serie municipal'!$B$2:$B$1132,$E$4,'Serie municipal'!$G$2:$G$1132,"Deforestación",'Serie municipal'!$D$2:$D$1132,$A$25)</f>
        <v>0</v>
      </c>
      <c r="C25" s="11">
        <f>B25/'Serie regional'!D16</f>
        <v>0</v>
      </c>
      <c r="D25" s="22">
        <f>'Serie regional'!F16</f>
        <v>1090.76</v>
      </c>
      <c r="E25" s="9" t="str">
        <f>'Serie regional'!G16</f>
        <v>No</v>
      </c>
    </row>
    <row r="26" spans="1:5" x14ac:dyDescent="0.25">
      <c r="A26" s="8" t="str">
        <f>'Serie regional'!A17</f>
        <v>2021-2022</v>
      </c>
      <c r="B26" s="11">
        <f>SUMIFS('Serie municipal'!$H$2:$H$1132,'Serie municipal'!$B$2:$B$1132,$E$4,'Serie municipal'!$G$2:$G$1132,"Deforestación",'Serie municipal'!$D$2:$D$1132,$A$26)</f>
        <v>5.77</v>
      </c>
      <c r="C26" s="11">
        <f>B26/'Serie regional'!D17</f>
        <v>5.77</v>
      </c>
      <c r="D26" s="22">
        <f>'Serie regional'!F17</f>
        <v>2325.6299999999997</v>
      </c>
      <c r="E26" s="9" t="str">
        <f>'Serie regional'!G17</f>
        <v>No</v>
      </c>
    </row>
    <row r="27" spans="1:5" x14ac:dyDescent="0.25">
      <c r="A27" s="8" t="str">
        <f>'Serie regional'!A18</f>
        <v>2022-2023</v>
      </c>
      <c r="B27" s="11">
        <f>SUMIFS('Serie municipal'!$H$2:$H$1132,'Serie municipal'!$B$2:$B$1132,$E$4,'Serie municipal'!$G$2:$G$1132,"Deforestación",'Serie municipal'!$D$2:$D$1132,$A$27)</f>
        <v>8.2200000000000006</v>
      </c>
      <c r="C27" s="11">
        <f>B27/'Serie regional'!D18</f>
        <v>8.2200000000000006</v>
      </c>
      <c r="D27" s="22">
        <f>'Serie regional'!F18</f>
        <v>1156.2199999999998</v>
      </c>
      <c r="E27" s="9" t="str">
        <f>'Serie regional'!G18</f>
        <v>No</v>
      </c>
    </row>
    <row r="28" spans="1:5" x14ac:dyDescent="0.25">
      <c r="A28" s="8" t="str">
        <f>'Serie regional'!A19</f>
        <v>2023-2024</v>
      </c>
      <c r="B28" s="11">
        <f>SUMIFS('Serie municipal'!$H$2:$H$1132,'Serie municipal'!$B$2:$B$1132,$E$4,'Serie municipal'!$G$2:$G$1132,"Deforestación",'Serie municipal'!$D$2:$D$1132,$A$28)</f>
        <v>12.14</v>
      </c>
      <c r="C28" s="11">
        <f>B28/'Serie regional'!D19</f>
        <v>12.14</v>
      </c>
      <c r="D28" s="22">
        <f>'Serie regional'!F19</f>
        <v>1596.81</v>
      </c>
      <c r="E28" s="9" t="str">
        <f>'Serie regional'!G19</f>
        <v>Sí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Aux!$A$4:$A$22</xm:f>
          </x14:formula1>
          <xm:sqref>E4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0" customWidth="1"/>
    <col min="2" max="19" width="11" customWidth="1"/>
    <col min="20" max="20" width="12" customWidth="1"/>
  </cols>
  <sheetData>
    <row r="1" spans="1:20" ht="18.75" x14ac:dyDescent="0.3">
      <c r="A1" s="5" t="s">
        <v>125</v>
      </c>
    </row>
    <row r="3" spans="1:20" x14ac:dyDescent="0.25">
      <c r="A3" s="7" t="s">
        <v>28</v>
      </c>
      <c r="B3" s="7" t="s">
        <v>41</v>
      </c>
      <c r="C3" s="7" t="s">
        <v>88</v>
      </c>
      <c r="D3" s="7" t="s">
        <v>90</v>
      </c>
      <c r="E3" s="7" t="s">
        <v>91</v>
      </c>
      <c r="F3" s="7" t="s">
        <v>92</v>
      </c>
      <c r="G3" s="7" t="s">
        <v>93</v>
      </c>
      <c r="H3" s="7" t="s">
        <v>96</v>
      </c>
      <c r="I3" s="7" t="s">
        <v>98</v>
      </c>
      <c r="J3" s="7" t="s">
        <v>99</v>
      </c>
      <c r="K3" s="7" t="s">
        <v>100</v>
      </c>
      <c r="L3" s="7" t="s">
        <v>102</v>
      </c>
      <c r="M3" s="7" t="s">
        <v>103</v>
      </c>
      <c r="N3" s="7" t="s">
        <v>104</v>
      </c>
      <c r="O3" s="7" t="s">
        <v>106</v>
      </c>
      <c r="P3" s="7" t="s">
        <v>107</v>
      </c>
      <c r="Q3" s="7" t="s">
        <v>108</v>
      </c>
      <c r="R3" s="7" t="s">
        <v>109</v>
      </c>
      <c r="S3" s="7" t="s">
        <v>110</v>
      </c>
      <c r="T3" s="7" t="s">
        <v>126</v>
      </c>
    </row>
    <row r="4" spans="1:20" x14ac:dyDescent="0.25">
      <c r="A4" s="9" t="s">
        <v>39</v>
      </c>
      <c r="B4" s="22">
        <f>SUMIFS('Serie municipal'!$H$2:$H$1132,'Serie municipal'!$B$2:$B$1132,$A4,'Serie municipal'!$G$2:$G$1132,"Deforestación",'Serie municipal'!$D$2:$D$1132,B$3)</f>
        <v>9.0500000000000007</v>
      </c>
      <c r="C4" s="22">
        <f>SUMIFS('Serie municipal'!$H$2:$H$1132,'Serie municipal'!$B$2:$B$1132,$A4,'Serie municipal'!$G$2:$G$1132,"Deforestación",'Serie municipal'!$D$2:$D$1132,C$3)</f>
        <v>8.99</v>
      </c>
      <c r="D4" s="22">
        <f>SUMIFS('Serie municipal'!$H$2:$H$1132,'Serie municipal'!$B$2:$B$1132,$A4,'Serie municipal'!$G$2:$G$1132,"Deforestación",'Serie municipal'!$D$2:$D$1132,D$3)</f>
        <v>0</v>
      </c>
      <c r="E4" s="22">
        <f>SUMIFS('Serie municipal'!$H$2:$H$1132,'Serie municipal'!$B$2:$B$1132,$A4,'Serie municipal'!$G$2:$G$1132,"Deforestación",'Serie municipal'!$D$2:$D$1132,E$3)</f>
        <v>1.47</v>
      </c>
      <c r="F4" s="22">
        <f>SUMIFS('Serie municipal'!$H$2:$H$1132,'Serie municipal'!$B$2:$B$1132,$A4,'Serie municipal'!$G$2:$G$1132,"Deforestación",'Serie municipal'!$D$2:$D$1132,F$3)</f>
        <v>2.95</v>
      </c>
      <c r="G4" s="22">
        <f>SUMIFS('Serie municipal'!$H$2:$H$1132,'Serie municipal'!$B$2:$B$1132,$A4,'Serie municipal'!$G$2:$G$1132,"Deforestación",'Serie municipal'!$D$2:$D$1132,G$3)</f>
        <v>74.44</v>
      </c>
      <c r="H4" s="22">
        <f>SUMIFS('Serie municipal'!$H$2:$H$1132,'Serie municipal'!$B$2:$B$1132,$A4,'Serie municipal'!$G$2:$G$1132,"Deforestación",'Serie municipal'!$D$2:$D$1132,H$3)</f>
        <v>87.29</v>
      </c>
      <c r="I4" s="22">
        <f>SUMIFS('Serie municipal'!$H$2:$H$1132,'Serie municipal'!$B$2:$B$1132,$A4,'Serie municipal'!$G$2:$G$1132,"Deforestación",'Serie municipal'!$D$2:$D$1132,I$3)</f>
        <v>15.25</v>
      </c>
      <c r="J4" s="22">
        <f>SUMIFS('Serie municipal'!$H$2:$H$1132,'Serie municipal'!$B$2:$B$1132,$A4,'Serie municipal'!$G$2:$G$1132,"Deforestación",'Serie municipal'!$D$2:$D$1132,J$3)</f>
        <v>17.09</v>
      </c>
      <c r="K4" s="22">
        <f>SUMIFS('Serie municipal'!$H$2:$H$1132,'Serie municipal'!$B$2:$B$1132,$A4,'Serie municipal'!$G$2:$G$1132,"Deforestación",'Serie municipal'!$D$2:$D$1132,K$3)</f>
        <v>25.12</v>
      </c>
      <c r="L4" s="22">
        <f>SUMIFS('Serie municipal'!$H$2:$H$1132,'Serie municipal'!$B$2:$B$1132,$A4,'Serie municipal'!$G$2:$G$1132,"Deforestación",'Serie municipal'!$D$2:$D$1132,L$3)</f>
        <v>35.659999999999997</v>
      </c>
      <c r="M4" s="22">
        <f>SUMIFS('Serie municipal'!$H$2:$H$1132,'Serie municipal'!$B$2:$B$1132,$A4,'Serie municipal'!$G$2:$G$1132,"Deforestación",'Serie municipal'!$D$2:$D$1132,M$3)</f>
        <v>4.28</v>
      </c>
      <c r="N4" s="22">
        <f>SUMIFS('Serie municipal'!$H$2:$H$1132,'Serie municipal'!$B$2:$B$1132,$A4,'Serie municipal'!$G$2:$G$1132,"Deforestación",'Serie municipal'!$D$2:$D$1132,N$3)</f>
        <v>2.7</v>
      </c>
      <c r="O4" s="22">
        <f>SUMIFS('Serie municipal'!$H$2:$H$1132,'Serie municipal'!$B$2:$B$1132,$A4,'Serie municipal'!$G$2:$G$1132,"Deforestación",'Serie municipal'!$D$2:$D$1132,O$3)</f>
        <v>1.1200000000000001</v>
      </c>
      <c r="P4" s="22">
        <f>SUMIFS('Serie municipal'!$H$2:$H$1132,'Serie municipal'!$B$2:$B$1132,$A4,'Serie municipal'!$G$2:$G$1132,"Deforestación",'Serie municipal'!$D$2:$D$1132,P$3)</f>
        <v>0</v>
      </c>
      <c r="Q4" s="22">
        <f>SUMIFS('Serie municipal'!$H$2:$H$1132,'Serie municipal'!$B$2:$B$1132,$A4,'Serie municipal'!$G$2:$G$1132,"Deforestación",'Serie municipal'!$D$2:$D$1132,Q$3)</f>
        <v>5.77</v>
      </c>
      <c r="R4" s="22">
        <f>SUMIFS('Serie municipal'!$H$2:$H$1132,'Serie municipal'!$B$2:$B$1132,$A4,'Serie municipal'!$G$2:$G$1132,"Deforestación",'Serie municipal'!$D$2:$D$1132,R$3)</f>
        <v>8.2200000000000006</v>
      </c>
      <c r="S4" s="22">
        <f>SUMIFS('Serie municipal'!$H$2:$H$1132,'Serie municipal'!$B$2:$B$1132,$A4,'Serie municipal'!$G$2:$G$1132,"Deforestación",'Serie municipal'!$D$2:$D$1132,S$3)</f>
        <v>12.14</v>
      </c>
      <c r="T4" s="23">
        <f t="shared" ref="T4:T22" si="0">SUM(B4:S4)</f>
        <v>311.53999999999996</v>
      </c>
    </row>
    <row r="5" spans="1:20" x14ac:dyDescent="0.25">
      <c r="A5" s="9" t="s">
        <v>48</v>
      </c>
      <c r="B5" s="22">
        <f>SUMIFS('Serie municipal'!$H$2:$H$1132,'Serie municipal'!$B$2:$B$1132,$A5,'Serie municipal'!$G$2:$G$1132,"Deforestación",'Serie municipal'!$D$2:$D$1132,B$3)</f>
        <v>16.41</v>
      </c>
      <c r="C5" s="22">
        <f>SUMIFS('Serie municipal'!$H$2:$H$1132,'Serie municipal'!$B$2:$B$1132,$A5,'Serie municipal'!$G$2:$G$1132,"Deforestación",'Serie municipal'!$D$2:$D$1132,C$3)</f>
        <v>40.270000000000003</v>
      </c>
      <c r="D5" s="22">
        <f>SUMIFS('Serie municipal'!$H$2:$H$1132,'Serie municipal'!$B$2:$B$1132,$A5,'Serie municipal'!$G$2:$G$1132,"Deforestación",'Serie municipal'!$D$2:$D$1132,D$3)</f>
        <v>62.23</v>
      </c>
      <c r="E5" s="22">
        <f>SUMIFS('Serie municipal'!$H$2:$H$1132,'Serie municipal'!$B$2:$B$1132,$A5,'Serie municipal'!$G$2:$G$1132,"Deforestación",'Serie municipal'!$D$2:$D$1132,E$3)</f>
        <v>199.72</v>
      </c>
      <c r="F5" s="22">
        <f>SUMIFS('Serie municipal'!$H$2:$H$1132,'Serie municipal'!$B$2:$B$1132,$A5,'Serie municipal'!$G$2:$G$1132,"Deforestación",'Serie municipal'!$D$2:$D$1132,F$3)</f>
        <v>102.76</v>
      </c>
      <c r="G5" s="22">
        <f>SUMIFS('Serie municipal'!$H$2:$H$1132,'Serie municipal'!$B$2:$B$1132,$A5,'Serie municipal'!$G$2:$G$1132,"Deforestación",'Serie municipal'!$D$2:$D$1132,G$3)</f>
        <v>88.39</v>
      </c>
      <c r="H5" s="22">
        <f>SUMIFS('Serie municipal'!$H$2:$H$1132,'Serie municipal'!$B$2:$B$1132,$A5,'Serie municipal'!$G$2:$G$1132,"Deforestación",'Serie municipal'!$D$2:$D$1132,H$3)</f>
        <v>54.01</v>
      </c>
      <c r="I5" s="22">
        <f>SUMIFS('Serie municipal'!$H$2:$H$1132,'Serie municipal'!$B$2:$B$1132,$A5,'Serie municipal'!$G$2:$G$1132,"Deforestación",'Serie municipal'!$D$2:$D$1132,I$3)</f>
        <v>410.94</v>
      </c>
      <c r="J5" s="22">
        <f>SUMIFS('Serie municipal'!$H$2:$H$1132,'Serie municipal'!$B$2:$B$1132,$A5,'Serie municipal'!$G$2:$G$1132,"Deforestación",'Serie municipal'!$D$2:$D$1132,J$3)</f>
        <v>54.57</v>
      </c>
      <c r="K5" s="22">
        <f>SUMIFS('Serie municipal'!$H$2:$H$1132,'Serie municipal'!$B$2:$B$1132,$A5,'Serie municipal'!$G$2:$G$1132,"Deforestación",'Serie municipal'!$D$2:$D$1132,K$3)</f>
        <v>426.9</v>
      </c>
      <c r="L5" s="22">
        <f>SUMIFS('Serie municipal'!$H$2:$H$1132,'Serie municipal'!$B$2:$B$1132,$A5,'Serie municipal'!$G$2:$G$1132,"Deforestación",'Serie municipal'!$D$2:$D$1132,L$3)</f>
        <v>241.81</v>
      </c>
      <c r="M5" s="22">
        <f>SUMIFS('Serie municipal'!$H$2:$H$1132,'Serie municipal'!$B$2:$B$1132,$A5,'Serie municipal'!$G$2:$G$1132,"Deforestación",'Serie municipal'!$D$2:$D$1132,M$3)</f>
        <v>154.91999999999999</v>
      </c>
      <c r="N5" s="22">
        <f>SUMIFS('Serie municipal'!$H$2:$H$1132,'Serie municipal'!$B$2:$B$1132,$A5,'Serie municipal'!$G$2:$G$1132,"Deforestación",'Serie municipal'!$D$2:$D$1132,N$3)</f>
        <v>97.73</v>
      </c>
      <c r="O5" s="22">
        <f>SUMIFS('Serie municipal'!$H$2:$H$1132,'Serie municipal'!$B$2:$B$1132,$A5,'Serie municipal'!$G$2:$G$1132,"Deforestación",'Serie municipal'!$D$2:$D$1132,O$3)</f>
        <v>40.54</v>
      </c>
      <c r="P5" s="22">
        <f>SUMIFS('Serie municipal'!$H$2:$H$1132,'Serie municipal'!$B$2:$B$1132,$A5,'Serie municipal'!$G$2:$G$1132,"Deforestación",'Serie municipal'!$D$2:$D$1132,P$3)</f>
        <v>34.799999999999997</v>
      </c>
      <c r="Q5" s="22">
        <f>SUMIFS('Serie municipal'!$H$2:$H$1132,'Serie municipal'!$B$2:$B$1132,$A5,'Serie municipal'!$G$2:$G$1132,"Deforestación",'Serie municipal'!$D$2:$D$1132,Q$3)</f>
        <v>121.26</v>
      </c>
      <c r="R5" s="22">
        <f>SUMIFS('Serie municipal'!$H$2:$H$1132,'Serie municipal'!$B$2:$B$1132,$A5,'Serie municipal'!$G$2:$G$1132,"Deforestación",'Serie municipal'!$D$2:$D$1132,R$3)</f>
        <v>45.93</v>
      </c>
      <c r="S5" s="22">
        <f>SUMIFS('Serie municipal'!$H$2:$H$1132,'Serie municipal'!$B$2:$B$1132,$A5,'Serie municipal'!$G$2:$G$1132,"Deforestación",'Serie municipal'!$D$2:$D$1132,S$3)</f>
        <v>78.45</v>
      </c>
      <c r="T5" s="23">
        <f t="shared" si="0"/>
        <v>2271.6399999999994</v>
      </c>
    </row>
    <row r="6" spans="1:20" x14ac:dyDescent="0.25">
      <c r="A6" s="9" t="s">
        <v>52</v>
      </c>
      <c r="B6" s="22">
        <f>SUMIFS('Serie municipal'!$H$2:$H$1132,'Serie municipal'!$B$2:$B$1132,$A6,'Serie municipal'!$G$2:$G$1132,"Deforestación",'Serie municipal'!$D$2:$D$1132,B$3)</f>
        <v>2.68</v>
      </c>
      <c r="C6" s="22">
        <f>SUMIFS('Serie municipal'!$H$2:$H$1132,'Serie municipal'!$B$2:$B$1132,$A6,'Serie municipal'!$G$2:$G$1132,"Deforestación",'Serie municipal'!$D$2:$D$1132,C$3)</f>
        <v>6.56</v>
      </c>
      <c r="D6" s="22">
        <f>SUMIFS('Serie municipal'!$H$2:$H$1132,'Serie municipal'!$B$2:$B$1132,$A6,'Serie municipal'!$G$2:$G$1132,"Deforestación",'Serie municipal'!$D$2:$D$1132,D$3)</f>
        <v>156.71</v>
      </c>
      <c r="E6" s="22">
        <f>SUMIFS('Serie municipal'!$H$2:$H$1132,'Serie municipal'!$B$2:$B$1132,$A6,'Serie municipal'!$G$2:$G$1132,"Deforestación",'Serie municipal'!$D$2:$D$1132,E$3)</f>
        <v>82.77</v>
      </c>
      <c r="F6" s="22">
        <f>SUMIFS('Serie municipal'!$H$2:$H$1132,'Serie municipal'!$B$2:$B$1132,$A6,'Serie municipal'!$G$2:$G$1132,"Deforestación",'Serie municipal'!$D$2:$D$1132,F$3)</f>
        <v>23.54</v>
      </c>
      <c r="G6" s="22">
        <f>SUMIFS('Serie municipal'!$H$2:$H$1132,'Serie municipal'!$B$2:$B$1132,$A6,'Serie municipal'!$G$2:$G$1132,"Deforestación",'Serie municipal'!$D$2:$D$1132,G$3)</f>
        <v>31.85</v>
      </c>
      <c r="H6" s="22">
        <f>SUMIFS('Serie municipal'!$H$2:$H$1132,'Serie municipal'!$B$2:$B$1132,$A6,'Serie municipal'!$G$2:$G$1132,"Deforestación",'Serie municipal'!$D$2:$D$1132,H$3)</f>
        <v>26.21</v>
      </c>
      <c r="I6" s="22">
        <f>SUMIFS('Serie municipal'!$H$2:$H$1132,'Serie municipal'!$B$2:$B$1132,$A6,'Serie municipal'!$G$2:$G$1132,"Deforestación",'Serie municipal'!$D$2:$D$1132,I$3)</f>
        <v>1.53</v>
      </c>
      <c r="J6" s="22">
        <f>SUMIFS('Serie municipal'!$H$2:$H$1132,'Serie municipal'!$B$2:$B$1132,$A6,'Serie municipal'!$G$2:$G$1132,"Deforestación",'Serie municipal'!$D$2:$D$1132,J$3)</f>
        <v>0</v>
      </c>
      <c r="K6" s="22">
        <f>SUMIFS('Serie municipal'!$H$2:$H$1132,'Serie municipal'!$B$2:$B$1132,$A6,'Serie municipal'!$G$2:$G$1132,"Deforestación",'Serie municipal'!$D$2:$D$1132,K$3)</f>
        <v>3.76</v>
      </c>
      <c r="L6" s="22">
        <f>SUMIFS('Serie municipal'!$H$2:$H$1132,'Serie municipal'!$B$2:$B$1132,$A6,'Serie municipal'!$G$2:$G$1132,"Deforestación",'Serie municipal'!$D$2:$D$1132,L$3)</f>
        <v>16.13</v>
      </c>
      <c r="M6" s="22">
        <f>SUMIFS('Serie municipal'!$H$2:$H$1132,'Serie municipal'!$B$2:$B$1132,$A6,'Serie municipal'!$G$2:$G$1132,"Deforestación",'Serie municipal'!$D$2:$D$1132,M$3)</f>
        <v>0</v>
      </c>
      <c r="N6" s="22">
        <f>SUMIFS('Serie municipal'!$H$2:$H$1132,'Serie municipal'!$B$2:$B$1132,$A6,'Serie municipal'!$G$2:$G$1132,"Deforestación",'Serie municipal'!$D$2:$D$1132,N$3)</f>
        <v>10.53</v>
      </c>
      <c r="O6" s="22">
        <f>SUMIFS('Serie municipal'!$H$2:$H$1132,'Serie municipal'!$B$2:$B$1132,$A6,'Serie municipal'!$G$2:$G$1132,"Deforestación",'Serie municipal'!$D$2:$D$1132,O$3)</f>
        <v>4.92</v>
      </c>
      <c r="P6" s="22">
        <f>SUMIFS('Serie municipal'!$H$2:$H$1132,'Serie municipal'!$B$2:$B$1132,$A6,'Serie municipal'!$G$2:$G$1132,"Deforestación",'Serie municipal'!$D$2:$D$1132,P$3)</f>
        <v>40.89</v>
      </c>
      <c r="Q6" s="22">
        <f>SUMIFS('Serie municipal'!$H$2:$H$1132,'Serie municipal'!$B$2:$B$1132,$A6,'Serie municipal'!$G$2:$G$1132,"Deforestación",'Serie municipal'!$D$2:$D$1132,Q$3)</f>
        <v>14.58</v>
      </c>
      <c r="R6" s="22">
        <f>SUMIFS('Serie municipal'!$H$2:$H$1132,'Serie municipal'!$B$2:$B$1132,$A6,'Serie municipal'!$G$2:$G$1132,"Deforestación",'Serie municipal'!$D$2:$D$1132,R$3)</f>
        <v>58.66</v>
      </c>
      <c r="S6" s="22">
        <f>SUMIFS('Serie municipal'!$H$2:$H$1132,'Serie municipal'!$B$2:$B$1132,$A6,'Serie municipal'!$G$2:$G$1132,"Deforestación",'Serie municipal'!$D$2:$D$1132,S$3)</f>
        <v>55.82</v>
      </c>
      <c r="T6" s="23">
        <f t="shared" si="0"/>
        <v>537.14</v>
      </c>
    </row>
    <row r="7" spans="1:20" x14ac:dyDescent="0.25">
      <c r="A7" s="9" t="s">
        <v>55</v>
      </c>
      <c r="B7" s="22">
        <f>SUMIFS('Serie municipal'!$H$2:$H$1132,'Serie municipal'!$B$2:$B$1132,$A7,'Serie municipal'!$G$2:$G$1132,"Deforestación",'Serie municipal'!$D$2:$D$1132,B$3)</f>
        <v>19.71</v>
      </c>
      <c r="C7" s="22">
        <f>SUMIFS('Serie municipal'!$H$2:$H$1132,'Serie municipal'!$B$2:$B$1132,$A7,'Serie municipal'!$G$2:$G$1132,"Deforestación",'Serie municipal'!$D$2:$D$1132,C$3)</f>
        <v>269.2</v>
      </c>
      <c r="D7" s="22">
        <f>SUMIFS('Serie municipal'!$H$2:$H$1132,'Serie municipal'!$B$2:$B$1132,$A7,'Serie municipal'!$G$2:$G$1132,"Deforestación",'Serie municipal'!$D$2:$D$1132,D$3)</f>
        <v>69.28</v>
      </c>
      <c r="E7" s="22">
        <f>SUMIFS('Serie municipal'!$H$2:$H$1132,'Serie municipal'!$B$2:$B$1132,$A7,'Serie municipal'!$G$2:$G$1132,"Deforestación",'Serie municipal'!$D$2:$D$1132,E$3)</f>
        <v>122.76</v>
      </c>
      <c r="F7" s="22">
        <f>SUMIFS('Serie municipal'!$H$2:$H$1132,'Serie municipal'!$B$2:$B$1132,$A7,'Serie municipal'!$G$2:$G$1132,"Deforestación",'Serie municipal'!$D$2:$D$1132,F$3)</f>
        <v>351.2</v>
      </c>
      <c r="G7" s="22">
        <f>SUMIFS('Serie municipal'!$H$2:$H$1132,'Serie municipal'!$B$2:$B$1132,$A7,'Serie municipal'!$G$2:$G$1132,"Deforestación",'Serie municipal'!$D$2:$D$1132,G$3)</f>
        <v>158.57</v>
      </c>
      <c r="H7" s="22">
        <f>SUMIFS('Serie municipal'!$H$2:$H$1132,'Serie municipal'!$B$2:$B$1132,$A7,'Serie municipal'!$G$2:$G$1132,"Deforestación",'Serie municipal'!$D$2:$D$1132,H$3)</f>
        <v>13.48</v>
      </c>
      <c r="I7" s="22">
        <f>SUMIFS('Serie municipal'!$H$2:$H$1132,'Serie municipal'!$B$2:$B$1132,$A7,'Serie municipal'!$G$2:$G$1132,"Deforestación",'Serie municipal'!$D$2:$D$1132,I$3)</f>
        <v>18.78</v>
      </c>
      <c r="J7" s="22">
        <f>SUMIFS('Serie municipal'!$H$2:$H$1132,'Serie municipal'!$B$2:$B$1132,$A7,'Serie municipal'!$G$2:$G$1132,"Deforestación",'Serie municipal'!$D$2:$D$1132,J$3)</f>
        <v>96.37</v>
      </c>
      <c r="K7" s="22">
        <f>SUMIFS('Serie municipal'!$H$2:$H$1132,'Serie municipal'!$B$2:$B$1132,$A7,'Serie municipal'!$G$2:$G$1132,"Deforestación",'Serie municipal'!$D$2:$D$1132,K$3)</f>
        <v>291.45999999999998</v>
      </c>
      <c r="L7" s="22">
        <f>SUMIFS('Serie municipal'!$H$2:$H$1132,'Serie municipal'!$B$2:$B$1132,$A7,'Serie municipal'!$G$2:$G$1132,"Deforestación",'Serie municipal'!$D$2:$D$1132,L$3)</f>
        <v>63.9</v>
      </c>
      <c r="M7" s="22">
        <f>SUMIFS('Serie municipal'!$H$2:$H$1132,'Serie municipal'!$B$2:$B$1132,$A7,'Serie municipal'!$G$2:$G$1132,"Deforestación",'Serie municipal'!$D$2:$D$1132,M$3)</f>
        <v>285.77</v>
      </c>
      <c r="N7" s="22">
        <f>SUMIFS('Serie municipal'!$H$2:$H$1132,'Serie municipal'!$B$2:$B$1132,$A7,'Serie municipal'!$G$2:$G$1132,"Deforestación",'Serie municipal'!$D$2:$D$1132,N$3)</f>
        <v>168.34</v>
      </c>
      <c r="O7" s="22">
        <f>SUMIFS('Serie municipal'!$H$2:$H$1132,'Serie municipal'!$B$2:$B$1132,$A7,'Serie municipal'!$G$2:$G$1132,"Deforestación",'Serie municipal'!$D$2:$D$1132,O$3)</f>
        <v>50.91</v>
      </c>
      <c r="P7" s="22">
        <f>SUMIFS('Serie municipal'!$H$2:$H$1132,'Serie municipal'!$B$2:$B$1132,$A7,'Serie municipal'!$G$2:$G$1132,"Deforestación",'Serie municipal'!$D$2:$D$1132,P$3)</f>
        <v>17.09</v>
      </c>
      <c r="Q7" s="22">
        <f>SUMIFS('Serie municipal'!$H$2:$H$1132,'Serie municipal'!$B$2:$B$1132,$A7,'Serie municipal'!$G$2:$G$1132,"Deforestación",'Serie municipal'!$D$2:$D$1132,Q$3)</f>
        <v>28.71</v>
      </c>
      <c r="R7" s="22">
        <f>SUMIFS('Serie municipal'!$H$2:$H$1132,'Serie municipal'!$B$2:$B$1132,$A7,'Serie municipal'!$G$2:$G$1132,"Deforestación",'Serie municipal'!$D$2:$D$1132,R$3)</f>
        <v>0.55000000000000004</v>
      </c>
      <c r="S7" s="22">
        <f>SUMIFS('Serie municipal'!$H$2:$H$1132,'Serie municipal'!$B$2:$B$1132,$A7,'Serie municipal'!$G$2:$G$1132,"Deforestación",'Serie municipal'!$D$2:$D$1132,S$3)</f>
        <v>0</v>
      </c>
      <c r="T7" s="23">
        <f t="shared" si="0"/>
        <v>2026.08</v>
      </c>
    </row>
    <row r="8" spans="1:20" x14ac:dyDescent="0.25">
      <c r="A8" s="9" t="s">
        <v>57</v>
      </c>
      <c r="B8" s="22">
        <f>SUMIFS('Serie municipal'!$H$2:$H$1132,'Serie municipal'!$B$2:$B$1132,$A8,'Serie municipal'!$G$2:$G$1132,"Deforestación",'Serie municipal'!$D$2:$D$1132,B$3)</f>
        <v>8.0399999999999991</v>
      </c>
      <c r="C8" s="22">
        <f>SUMIFS('Serie municipal'!$H$2:$H$1132,'Serie municipal'!$B$2:$B$1132,$A8,'Serie municipal'!$G$2:$G$1132,"Deforestación",'Serie municipal'!$D$2:$D$1132,C$3)</f>
        <v>12.38</v>
      </c>
      <c r="D8" s="22">
        <f>SUMIFS('Serie municipal'!$H$2:$H$1132,'Serie municipal'!$B$2:$B$1132,$A8,'Serie municipal'!$G$2:$G$1132,"Deforestación",'Serie municipal'!$D$2:$D$1132,D$3)</f>
        <v>22.27</v>
      </c>
      <c r="E8" s="22">
        <f>SUMIFS('Serie municipal'!$H$2:$H$1132,'Serie municipal'!$B$2:$B$1132,$A8,'Serie municipal'!$G$2:$G$1132,"Deforestación",'Serie municipal'!$D$2:$D$1132,E$3)</f>
        <v>21.57</v>
      </c>
      <c r="F8" s="22">
        <f>SUMIFS('Serie municipal'!$H$2:$H$1132,'Serie municipal'!$B$2:$B$1132,$A8,'Serie municipal'!$G$2:$G$1132,"Deforestación",'Serie municipal'!$D$2:$D$1132,F$3)</f>
        <v>7.91</v>
      </c>
      <c r="G8" s="22">
        <f>SUMIFS('Serie municipal'!$H$2:$H$1132,'Serie municipal'!$B$2:$B$1132,$A8,'Serie municipal'!$G$2:$G$1132,"Deforestación",'Serie municipal'!$D$2:$D$1132,G$3)</f>
        <v>198.37</v>
      </c>
      <c r="H8" s="22">
        <f>SUMIFS('Serie municipal'!$H$2:$H$1132,'Serie municipal'!$B$2:$B$1132,$A8,'Serie municipal'!$G$2:$G$1132,"Deforestación",'Serie municipal'!$D$2:$D$1132,H$3)</f>
        <v>232.58</v>
      </c>
      <c r="I8" s="22">
        <f>SUMIFS('Serie municipal'!$H$2:$H$1132,'Serie municipal'!$B$2:$B$1132,$A8,'Serie municipal'!$G$2:$G$1132,"Deforestación",'Serie municipal'!$D$2:$D$1132,I$3)</f>
        <v>13.47</v>
      </c>
      <c r="J8" s="22">
        <f>SUMIFS('Serie municipal'!$H$2:$H$1132,'Serie municipal'!$B$2:$B$1132,$A8,'Serie municipal'!$G$2:$G$1132,"Deforestación",'Serie municipal'!$D$2:$D$1132,J$3)</f>
        <v>37.99</v>
      </c>
      <c r="K8" s="22">
        <f>SUMIFS('Serie municipal'!$H$2:$H$1132,'Serie municipal'!$B$2:$B$1132,$A8,'Serie municipal'!$G$2:$G$1132,"Deforestación",'Serie municipal'!$D$2:$D$1132,K$3)</f>
        <v>22.72</v>
      </c>
      <c r="L8" s="22">
        <f>SUMIFS('Serie municipal'!$H$2:$H$1132,'Serie municipal'!$B$2:$B$1132,$A8,'Serie municipal'!$G$2:$G$1132,"Deforestación",'Serie municipal'!$D$2:$D$1132,L$3)</f>
        <v>60.61</v>
      </c>
      <c r="M8" s="22">
        <f>SUMIFS('Serie municipal'!$H$2:$H$1132,'Serie municipal'!$B$2:$B$1132,$A8,'Serie municipal'!$G$2:$G$1132,"Deforestación",'Serie municipal'!$D$2:$D$1132,M$3)</f>
        <v>0</v>
      </c>
      <c r="N8" s="22">
        <f>SUMIFS('Serie municipal'!$H$2:$H$1132,'Serie municipal'!$B$2:$B$1132,$A8,'Serie municipal'!$G$2:$G$1132,"Deforestación",'Serie municipal'!$D$2:$D$1132,N$3)</f>
        <v>49.62</v>
      </c>
      <c r="O8" s="22">
        <f>SUMIFS('Serie municipal'!$H$2:$H$1132,'Serie municipal'!$B$2:$B$1132,$A8,'Serie municipal'!$G$2:$G$1132,"Deforestación",'Serie municipal'!$D$2:$D$1132,O$3)</f>
        <v>38.630000000000003</v>
      </c>
      <c r="P8" s="22">
        <f>SUMIFS('Serie municipal'!$H$2:$H$1132,'Serie municipal'!$B$2:$B$1132,$A8,'Serie municipal'!$G$2:$G$1132,"Deforestación",'Serie municipal'!$D$2:$D$1132,P$3)</f>
        <v>19.489999999999998</v>
      </c>
      <c r="Q8" s="22">
        <f>SUMIFS('Serie municipal'!$H$2:$H$1132,'Serie municipal'!$B$2:$B$1132,$A8,'Serie municipal'!$G$2:$G$1132,"Deforestación",'Serie municipal'!$D$2:$D$1132,Q$3)</f>
        <v>7.52</v>
      </c>
      <c r="R8" s="22">
        <f>SUMIFS('Serie municipal'!$H$2:$H$1132,'Serie municipal'!$B$2:$B$1132,$A8,'Serie municipal'!$G$2:$G$1132,"Deforestación",'Serie municipal'!$D$2:$D$1132,R$3)</f>
        <v>10.91</v>
      </c>
      <c r="S8" s="22">
        <f>SUMIFS('Serie municipal'!$H$2:$H$1132,'Serie municipal'!$B$2:$B$1132,$A8,'Serie municipal'!$G$2:$G$1132,"Deforestación",'Serie municipal'!$D$2:$D$1132,S$3)</f>
        <v>4.0599999999999996</v>
      </c>
      <c r="T8" s="23">
        <f t="shared" si="0"/>
        <v>768.14</v>
      </c>
    </row>
    <row r="9" spans="1:20" x14ac:dyDescent="0.25">
      <c r="A9" s="9" t="s">
        <v>59</v>
      </c>
      <c r="B9" s="22">
        <f>SUMIFS('Serie municipal'!$H$2:$H$1132,'Serie municipal'!$B$2:$B$1132,$A9,'Serie municipal'!$G$2:$G$1132,"Deforestación",'Serie municipal'!$D$2:$D$1132,B$3)</f>
        <v>6.79</v>
      </c>
      <c r="C9" s="22">
        <f>SUMIFS('Serie municipal'!$H$2:$H$1132,'Serie municipal'!$B$2:$B$1132,$A9,'Serie municipal'!$G$2:$G$1132,"Deforestación",'Serie municipal'!$D$2:$D$1132,C$3)</f>
        <v>325.17</v>
      </c>
      <c r="D9" s="22">
        <f>SUMIFS('Serie municipal'!$H$2:$H$1132,'Serie municipal'!$B$2:$B$1132,$A9,'Serie municipal'!$G$2:$G$1132,"Deforestación",'Serie municipal'!$D$2:$D$1132,D$3)</f>
        <v>140.54</v>
      </c>
      <c r="E9" s="22">
        <f>SUMIFS('Serie municipal'!$H$2:$H$1132,'Serie municipal'!$B$2:$B$1132,$A9,'Serie municipal'!$G$2:$G$1132,"Deforestación",'Serie municipal'!$D$2:$D$1132,E$3)</f>
        <v>138.08000000000001</v>
      </c>
      <c r="F9" s="22">
        <f>SUMIFS('Serie municipal'!$H$2:$H$1132,'Serie municipal'!$B$2:$B$1132,$A9,'Serie municipal'!$G$2:$G$1132,"Deforestación",'Serie municipal'!$D$2:$D$1132,F$3)</f>
        <v>141.72999999999999</v>
      </c>
      <c r="G9" s="22">
        <f>SUMIFS('Serie municipal'!$H$2:$H$1132,'Serie municipal'!$B$2:$B$1132,$A9,'Serie municipal'!$G$2:$G$1132,"Deforestación",'Serie municipal'!$D$2:$D$1132,G$3)</f>
        <v>149.01</v>
      </c>
      <c r="H9" s="22">
        <f>SUMIFS('Serie municipal'!$H$2:$H$1132,'Serie municipal'!$B$2:$B$1132,$A9,'Serie municipal'!$G$2:$G$1132,"Deforestación",'Serie municipal'!$D$2:$D$1132,H$3)</f>
        <v>106.81</v>
      </c>
      <c r="I9" s="22">
        <f>SUMIFS('Serie municipal'!$H$2:$H$1132,'Serie municipal'!$B$2:$B$1132,$A9,'Serie municipal'!$G$2:$G$1132,"Deforestación",'Serie municipal'!$D$2:$D$1132,I$3)</f>
        <v>81.14</v>
      </c>
      <c r="J9" s="22">
        <f>SUMIFS('Serie municipal'!$H$2:$H$1132,'Serie municipal'!$B$2:$B$1132,$A9,'Serie municipal'!$G$2:$G$1132,"Deforestación",'Serie municipal'!$D$2:$D$1132,J$3)</f>
        <v>62.75</v>
      </c>
      <c r="K9" s="22">
        <f>SUMIFS('Serie municipal'!$H$2:$H$1132,'Serie municipal'!$B$2:$B$1132,$A9,'Serie municipal'!$G$2:$G$1132,"Deforestación",'Serie municipal'!$D$2:$D$1132,K$3)</f>
        <v>393.27</v>
      </c>
      <c r="L9" s="22">
        <f>SUMIFS('Serie municipal'!$H$2:$H$1132,'Serie municipal'!$B$2:$B$1132,$A9,'Serie municipal'!$G$2:$G$1132,"Deforestación",'Serie municipal'!$D$2:$D$1132,L$3)</f>
        <v>269.22000000000003</v>
      </c>
      <c r="M9" s="22">
        <f>SUMIFS('Serie municipal'!$H$2:$H$1132,'Serie municipal'!$B$2:$B$1132,$A9,'Serie municipal'!$G$2:$G$1132,"Deforestación",'Serie municipal'!$D$2:$D$1132,M$3)</f>
        <v>39.07</v>
      </c>
      <c r="N9" s="22">
        <f>SUMIFS('Serie municipal'!$H$2:$H$1132,'Serie municipal'!$B$2:$B$1132,$A9,'Serie municipal'!$G$2:$G$1132,"Deforestación",'Serie municipal'!$D$2:$D$1132,N$3)</f>
        <v>37.18</v>
      </c>
      <c r="O9" s="22">
        <f>SUMIFS('Serie municipal'!$H$2:$H$1132,'Serie municipal'!$B$2:$B$1132,$A9,'Serie municipal'!$G$2:$G$1132,"Deforestación",'Serie municipal'!$D$2:$D$1132,O$3)</f>
        <v>35.299999999999997</v>
      </c>
      <c r="P9" s="22">
        <f>SUMIFS('Serie municipal'!$H$2:$H$1132,'Serie municipal'!$B$2:$B$1132,$A9,'Serie municipal'!$G$2:$G$1132,"Deforestación",'Serie municipal'!$D$2:$D$1132,P$3)</f>
        <v>16.190000000000001</v>
      </c>
      <c r="Q9" s="22">
        <f>SUMIFS('Serie municipal'!$H$2:$H$1132,'Serie municipal'!$B$2:$B$1132,$A9,'Serie municipal'!$G$2:$G$1132,"Deforestación",'Serie municipal'!$D$2:$D$1132,Q$3)</f>
        <v>103.95</v>
      </c>
      <c r="R9" s="22">
        <f>SUMIFS('Serie municipal'!$H$2:$H$1132,'Serie municipal'!$B$2:$B$1132,$A9,'Serie municipal'!$G$2:$G$1132,"Deforestación",'Serie municipal'!$D$2:$D$1132,R$3)</f>
        <v>17.48</v>
      </c>
      <c r="S9" s="22">
        <f>SUMIFS('Serie municipal'!$H$2:$H$1132,'Serie municipal'!$B$2:$B$1132,$A9,'Serie municipal'!$G$2:$G$1132,"Deforestación",'Serie municipal'!$D$2:$D$1132,S$3)</f>
        <v>47.16</v>
      </c>
      <c r="T9" s="23">
        <f t="shared" si="0"/>
        <v>2110.84</v>
      </c>
    </row>
    <row r="10" spans="1:20" x14ac:dyDescent="0.25">
      <c r="A10" s="9" t="s">
        <v>61</v>
      </c>
      <c r="B10" s="22">
        <f>SUMIFS('Serie municipal'!$H$2:$H$1132,'Serie municipal'!$B$2:$B$1132,$A10,'Serie municipal'!$G$2:$G$1132,"Deforestación",'Serie municipal'!$D$2:$D$1132,B$3)</f>
        <v>181.34</v>
      </c>
      <c r="C10" s="22">
        <f>SUMIFS('Serie municipal'!$H$2:$H$1132,'Serie municipal'!$B$2:$B$1132,$A10,'Serie municipal'!$G$2:$G$1132,"Deforestación",'Serie municipal'!$D$2:$D$1132,C$3)</f>
        <v>270.42</v>
      </c>
      <c r="D10" s="22">
        <f>SUMIFS('Serie municipal'!$H$2:$H$1132,'Serie municipal'!$B$2:$B$1132,$A10,'Serie municipal'!$G$2:$G$1132,"Deforestación",'Serie municipal'!$D$2:$D$1132,D$3)</f>
        <v>113.98</v>
      </c>
      <c r="E10" s="22">
        <f>SUMIFS('Serie municipal'!$H$2:$H$1132,'Serie municipal'!$B$2:$B$1132,$A10,'Serie municipal'!$G$2:$G$1132,"Deforestación",'Serie municipal'!$D$2:$D$1132,E$3)</f>
        <v>174.58</v>
      </c>
      <c r="F10" s="22">
        <f>SUMIFS('Serie municipal'!$H$2:$H$1132,'Serie municipal'!$B$2:$B$1132,$A10,'Serie municipal'!$G$2:$G$1132,"Deforestación",'Serie municipal'!$D$2:$D$1132,F$3)</f>
        <v>153.79</v>
      </c>
      <c r="G10" s="22">
        <f>SUMIFS('Serie municipal'!$H$2:$H$1132,'Serie municipal'!$B$2:$B$1132,$A10,'Serie municipal'!$G$2:$G$1132,"Deforestación",'Serie municipal'!$D$2:$D$1132,G$3)</f>
        <v>331.11</v>
      </c>
      <c r="H10" s="22">
        <f>SUMIFS('Serie municipal'!$H$2:$H$1132,'Serie municipal'!$B$2:$B$1132,$A10,'Serie municipal'!$G$2:$G$1132,"Deforestación",'Serie municipal'!$D$2:$D$1132,H$3)</f>
        <v>317.91000000000003</v>
      </c>
      <c r="I10" s="22">
        <f>SUMIFS('Serie municipal'!$H$2:$H$1132,'Serie municipal'!$B$2:$B$1132,$A10,'Serie municipal'!$G$2:$G$1132,"Deforestación",'Serie municipal'!$D$2:$D$1132,I$3)</f>
        <v>392.53</v>
      </c>
      <c r="J10" s="22">
        <f>SUMIFS('Serie municipal'!$H$2:$H$1132,'Serie municipal'!$B$2:$B$1132,$A10,'Serie municipal'!$G$2:$G$1132,"Deforestación",'Serie municipal'!$D$2:$D$1132,J$3)</f>
        <v>262.17</v>
      </c>
      <c r="K10" s="22">
        <f>SUMIFS('Serie municipal'!$H$2:$H$1132,'Serie municipal'!$B$2:$B$1132,$A10,'Serie municipal'!$G$2:$G$1132,"Deforestación",'Serie municipal'!$D$2:$D$1132,K$3)</f>
        <v>250.37</v>
      </c>
      <c r="L10" s="22">
        <f>SUMIFS('Serie municipal'!$H$2:$H$1132,'Serie municipal'!$B$2:$B$1132,$A10,'Serie municipal'!$G$2:$G$1132,"Deforestación",'Serie municipal'!$D$2:$D$1132,L$3)</f>
        <v>392.7</v>
      </c>
      <c r="M10" s="22">
        <f>SUMIFS('Serie municipal'!$H$2:$H$1132,'Serie municipal'!$B$2:$B$1132,$A10,'Serie municipal'!$G$2:$G$1132,"Deforestación",'Serie municipal'!$D$2:$D$1132,M$3)</f>
        <v>168.52</v>
      </c>
      <c r="N10" s="22">
        <f>SUMIFS('Serie municipal'!$H$2:$H$1132,'Serie municipal'!$B$2:$B$1132,$A10,'Serie municipal'!$G$2:$G$1132,"Deforestación",'Serie municipal'!$D$2:$D$1132,N$3)</f>
        <v>309.13</v>
      </c>
      <c r="O10" s="22">
        <f>SUMIFS('Serie municipal'!$H$2:$H$1132,'Serie municipal'!$B$2:$B$1132,$A10,'Serie municipal'!$G$2:$G$1132,"Deforestación",'Serie municipal'!$D$2:$D$1132,O$3)</f>
        <v>449.74</v>
      </c>
      <c r="P10" s="22">
        <f>SUMIFS('Serie municipal'!$H$2:$H$1132,'Serie municipal'!$B$2:$B$1132,$A10,'Serie municipal'!$G$2:$G$1132,"Deforestación",'Serie municipal'!$D$2:$D$1132,P$3)</f>
        <v>222.52</v>
      </c>
      <c r="Q10" s="22">
        <f>SUMIFS('Serie municipal'!$H$2:$H$1132,'Serie municipal'!$B$2:$B$1132,$A10,'Serie municipal'!$G$2:$G$1132,"Deforestación",'Serie municipal'!$D$2:$D$1132,Q$3)</f>
        <v>579.52</v>
      </c>
      <c r="R10" s="22">
        <f>SUMIFS('Serie municipal'!$H$2:$H$1132,'Serie municipal'!$B$2:$B$1132,$A10,'Serie municipal'!$G$2:$G$1132,"Deforestación",'Serie municipal'!$D$2:$D$1132,R$3)</f>
        <v>166.36</v>
      </c>
      <c r="S10" s="22">
        <f>SUMIFS('Serie municipal'!$H$2:$H$1132,'Serie municipal'!$B$2:$B$1132,$A10,'Serie municipal'!$G$2:$G$1132,"Deforestación",'Serie municipal'!$D$2:$D$1132,S$3)</f>
        <v>266.64</v>
      </c>
      <c r="T10" s="23">
        <f t="shared" si="0"/>
        <v>5003.33</v>
      </c>
    </row>
    <row r="11" spans="1:20" x14ac:dyDescent="0.25">
      <c r="A11" s="9" t="s">
        <v>63</v>
      </c>
      <c r="B11" s="22">
        <f>SUMIFS('Serie municipal'!$H$2:$H$1132,'Serie municipal'!$B$2:$B$1132,$A11,'Serie municipal'!$G$2:$G$1132,"Deforestación",'Serie municipal'!$D$2:$D$1132,B$3)</f>
        <v>85.78</v>
      </c>
      <c r="C11" s="22">
        <f>SUMIFS('Serie municipal'!$H$2:$H$1132,'Serie municipal'!$B$2:$B$1132,$A11,'Serie municipal'!$G$2:$G$1132,"Deforestación",'Serie municipal'!$D$2:$D$1132,C$3)</f>
        <v>76.94</v>
      </c>
      <c r="D11" s="22">
        <f>SUMIFS('Serie municipal'!$H$2:$H$1132,'Serie municipal'!$B$2:$B$1132,$A11,'Serie municipal'!$G$2:$G$1132,"Deforestación",'Serie municipal'!$D$2:$D$1132,D$3)</f>
        <v>43.35</v>
      </c>
      <c r="E11" s="22">
        <f>SUMIFS('Serie municipal'!$H$2:$H$1132,'Serie municipal'!$B$2:$B$1132,$A11,'Serie municipal'!$G$2:$G$1132,"Deforestación",'Serie municipal'!$D$2:$D$1132,E$3)</f>
        <v>49.27</v>
      </c>
      <c r="F11" s="22">
        <f>SUMIFS('Serie municipal'!$H$2:$H$1132,'Serie municipal'!$B$2:$B$1132,$A11,'Serie municipal'!$G$2:$G$1132,"Deforestación",'Serie municipal'!$D$2:$D$1132,F$3)</f>
        <v>80.69</v>
      </c>
      <c r="G11" s="22">
        <f>SUMIFS('Serie municipal'!$H$2:$H$1132,'Serie municipal'!$B$2:$B$1132,$A11,'Serie municipal'!$G$2:$G$1132,"Deforestación",'Serie municipal'!$D$2:$D$1132,G$3)</f>
        <v>290.87</v>
      </c>
      <c r="H11" s="22">
        <f>SUMIFS('Serie municipal'!$H$2:$H$1132,'Serie municipal'!$B$2:$B$1132,$A11,'Serie municipal'!$G$2:$G$1132,"Deforestación",'Serie municipal'!$D$2:$D$1132,H$3)</f>
        <v>306.48</v>
      </c>
      <c r="I11" s="22">
        <f>SUMIFS('Serie municipal'!$H$2:$H$1132,'Serie municipal'!$B$2:$B$1132,$A11,'Serie municipal'!$G$2:$G$1132,"Deforestación",'Serie municipal'!$D$2:$D$1132,I$3)</f>
        <v>218.01</v>
      </c>
      <c r="J11" s="22">
        <f>SUMIFS('Serie municipal'!$H$2:$H$1132,'Serie municipal'!$B$2:$B$1132,$A11,'Serie municipal'!$G$2:$G$1132,"Deforestación",'Serie municipal'!$D$2:$D$1132,J$3)</f>
        <v>160.26</v>
      </c>
      <c r="K11" s="22">
        <f>SUMIFS('Serie municipal'!$H$2:$H$1132,'Serie municipal'!$B$2:$B$1132,$A11,'Serie municipal'!$G$2:$G$1132,"Deforestación",'Serie municipal'!$D$2:$D$1132,K$3)</f>
        <v>188.87</v>
      </c>
      <c r="L11" s="22">
        <f>SUMIFS('Serie municipal'!$H$2:$H$1132,'Serie municipal'!$B$2:$B$1132,$A11,'Serie municipal'!$G$2:$G$1132,"Deforestación",'Serie municipal'!$D$2:$D$1132,L$3)</f>
        <v>470.15</v>
      </c>
      <c r="M11" s="22">
        <f>SUMIFS('Serie municipal'!$H$2:$H$1132,'Serie municipal'!$B$2:$B$1132,$A11,'Serie municipal'!$G$2:$G$1132,"Deforestación",'Serie municipal'!$D$2:$D$1132,M$3)</f>
        <v>121.1</v>
      </c>
      <c r="N11" s="22">
        <f>SUMIFS('Serie municipal'!$H$2:$H$1132,'Serie municipal'!$B$2:$B$1132,$A11,'Serie municipal'!$G$2:$G$1132,"Deforestación",'Serie municipal'!$D$2:$D$1132,N$3)</f>
        <v>108.86</v>
      </c>
      <c r="O11" s="22">
        <f>SUMIFS('Serie municipal'!$H$2:$H$1132,'Serie municipal'!$B$2:$B$1132,$A11,'Serie municipal'!$G$2:$G$1132,"Deforestación",'Serie municipal'!$D$2:$D$1132,O$3)</f>
        <v>96.61</v>
      </c>
      <c r="P11" s="22">
        <f>SUMIFS('Serie municipal'!$H$2:$H$1132,'Serie municipal'!$B$2:$B$1132,$A11,'Serie municipal'!$G$2:$G$1132,"Deforestación",'Serie municipal'!$D$2:$D$1132,P$3)</f>
        <v>81.099999999999994</v>
      </c>
      <c r="Q11" s="22">
        <f>SUMIFS('Serie municipal'!$H$2:$H$1132,'Serie municipal'!$B$2:$B$1132,$A11,'Serie municipal'!$G$2:$G$1132,"Deforestación",'Serie municipal'!$D$2:$D$1132,Q$3)</f>
        <v>358.51</v>
      </c>
      <c r="R11" s="22">
        <f>SUMIFS('Serie municipal'!$H$2:$H$1132,'Serie municipal'!$B$2:$B$1132,$A11,'Serie municipal'!$G$2:$G$1132,"Deforestación",'Serie municipal'!$D$2:$D$1132,R$3)</f>
        <v>109.89</v>
      </c>
      <c r="S11" s="22">
        <f>SUMIFS('Serie municipal'!$H$2:$H$1132,'Serie municipal'!$B$2:$B$1132,$A11,'Serie municipal'!$G$2:$G$1132,"Deforestación",'Serie municipal'!$D$2:$D$1132,S$3)</f>
        <v>211.96</v>
      </c>
      <c r="T11" s="23">
        <f t="shared" si="0"/>
        <v>3058.7000000000003</v>
      </c>
    </row>
    <row r="12" spans="1:20" x14ac:dyDescent="0.25">
      <c r="A12" s="9" t="s">
        <v>66</v>
      </c>
      <c r="B12" s="22">
        <f>SUMIFS('Serie municipal'!$H$2:$H$1132,'Serie municipal'!$B$2:$B$1132,$A12,'Serie municipal'!$G$2:$G$1132,"Deforestación",'Serie municipal'!$D$2:$D$1132,B$3)</f>
        <v>1.06</v>
      </c>
      <c r="C12" s="22">
        <f>SUMIFS('Serie municipal'!$H$2:$H$1132,'Serie municipal'!$B$2:$B$1132,$A12,'Serie municipal'!$G$2:$G$1132,"Deforestación",'Serie municipal'!$D$2:$D$1132,C$3)</f>
        <v>0</v>
      </c>
      <c r="D12" s="22">
        <f>SUMIFS('Serie municipal'!$H$2:$H$1132,'Serie municipal'!$B$2:$B$1132,$A12,'Serie municipal'!$G$2:$G$1132,"Deforestación",'Serie municipal'!$D$2:$D$1132,D$3)</f>
        <v>0</v>
      </c>
      <c r="E12" s="22">
        <f>SUMIFS('Serie municipal'!$H$2:$H$1132,'Serie municipal'!$B$2:$B$1132,$A12,'Serie municipal'!$G$2:$G$1132,"Deforestación",'Serie municipal'!$D$2:$D$1132,E$3)</f>
        <v>0</v>
      </c>
      <c r="F12" s="22">
        <f>SUMIFS('Serie municipal'!$H$2:$H$1132,'Serie municipal'!$B$2:$B$1132,$A12,'Serie municipal'!$G$2:$G$1132,"Deforestación",'Serie municipal'!$D$2:$D$1132,F$3)</f>
        <v>0.97</v>
      </c>
      <c r="G12" s="22">
        <f>SUMIFS('Serie municipal'!$H$2:$H$1132,'Serie municipal'!$B$2:$B$1132,$A12,'Serie municipal'!$G$2:$G$1132,"Deforestación",'Serie municipal'!$D$2:$D$1132,G$3)</f>
        <v>15.69</v>
      </c>
      <c r="H12" s="22">
        <f>SUMIFS('Serie municipal'!$H$2:$H$1132,'Serie municipal'!$B$2:$B$1132,$A12,'Serie municipal'!$G$2:$G$1132,"Deforestación",'Serie municipal'!$D$2:$D$1132,H$3)</f>
        <v>18.22</v>
      </c>
      <c r="I12" s="22">
        <f>SUMIFS('Serie municipal'!$H$2:$H$1132,'Serie municipal'!$B$2:$B$1132,$A12,'Serie municipal'!$G$2:$G$1132,"Deforestación",'Serie municipal'!$D$2:$D$1132,I$3)</f>
        <v>1.24</v>
      </c>
      <c r="J12" s="22">
        <f>SUMIFS('Serie municipal'!$H$2:$H$1132,'Serie municipal'!$B$2:$B$1132,$A12,'Serie municipal'!$G$2:$G$1132,"Deforestación",'Serie municipal'!$D$2:$D$1132,J$3)</f>
        <v>0</v>
      </c>
      <c r="K12" s="22">
        <f>SUMIFS('Serie municipal'!$H$2:$H$1132,'Serie municipal'!$B$2:$B$1132,$A12,'Serie municipal'!$G$2:$G$1132,"Deforestación",'Serie municipal'!$D$2:$D$1132,K$3)</f>
        <v>2.77</v>
      </c>
      <c r="L12" s="22">
        <f>SUMIFS('Serie municipal'!$H$2:$H$1132,'Serie municipal'!$B$2:$B$1132,$A12,'Serie municipal'!$G$2:$G$1132,"Deforestación",'Serie municipal'!$D$2:$D$1132,L$3)</f>
        <v>13.06</v>
      </c>
      <c r="M12" s="22">
        <f>SUMIFS('Serie municipal'!$H$2:$H$1132,'Serie municipal'!$B$2:$B$1132,$A12,'Serie municipal'!$G$2:$G$1132,"Deforestación",'Serie municipal'!$D$2:$D$1132,M$3)</f>
        <v>0</v>
      </c>
      <c r="N12" s="22">
        <f>SUMIFS('Serie municipal'!$H$2:$H$1132,'Serie municipal'!$B$2:$B$1132,$A12,'Serie municipal'!$G$2:$G$1132,"Deforestación",'Serie municipal'!$D$2:$D$1132,N$3)</f>
        <v>10.58</v>
      </c>
      <c r="O12" s="22">
        <f>SUMIFS('Serie municipal'!$H$2:$H$1132,'Serie municipal'!$B$2:$B$1132,$A12,'Serie municipal'!$G$2:$G$1132,"Deforestación",'Serie municipal'!$D$2:$D$1132,O$3)</f>
        <v>0</v>
      </c>
      <c r="P12" s="22">
        <f>SUMIFS('Serie municipal'!$H$2:$H$1132,'Serie municipal'!$B$2:$B$1132,$A12,'Serie municipal'!$G$2:$G$1132,"Deforestación",'Serie municipal'!$D$2:$D$1132,P$3)</f>
        <v>0</v>
      </c>
      <c r="Q12" s="22">
        <f>SUMIFS('Serie municipal'!$H$2:$H$1132,'Serie municipal'!$B$2:$B$1132,$A12,'Serie municipal'!$G$2:$G$1132,"Deforestación",'Serie municipal'!$D$2:$D$1132,Q$3)</f>
        <v>8.09</v>
      </c>
      <c r="R12" s="22">
        <f>SUMIFS('Serie municipal'!$H$2:$H$1132,'Serie municipal'!$B$2:$B$1132,$A12,'Serie municipal'!$G$2:$G$1132,"Deforestación",'Serie municipal'!$D$2:$D$1132,R$3)</f>
        <v>0</v>
      </c>
      <c r="S12" s="22">
        <f>SUMIFS('Serie municipal'!$H$2:$H$1132,'Serie municipal'!$B$2:$B$1132,$A12,'Serie municipal'!$G$2:$G$1132,"Deforestación",'Serie municipal'!$D$2:$D$1132,S$3)</f>
        <v>13.3</v>
      </c>
      <c r="T12" s="23">
        <f t="shared" si="0"/>
        <v>84.98</v>
      </c>
    </row>
    <row r="13" spans="1:20" x14ac:dyDescent="0.25">
      <c r="A13" s="9" t="s">
        <v>68</v>
      </c>
      <c r="B13" s="22">
        <f>SUMIFS('Serie municipal'!$H$2:$H$1132,'Serie municipal'!$B$2:$B$1132,$A13,'Serie municipal'!$G$2:$G$1132,"Deforestación",'Serie municipal'!$D$2:$D$1132,B$3)</f>
        <v>26.23</v>
      </c>
      <c r="C13" s="22">
        <f>SUMIFS('Serie municipal'!$H$2:$H$1132,'Serie municipal'!$B$2:$B$1132,$A13,'Serie municipal'!$G$2:$G$1132,"Deforestación",'Serie municipal'!$D$2:$D$1132,C$3)</f>
        <v>30.29</v>
      </c>
      <c r="D13" s="22">
        <f>SUMIFS('Serie municipal'!$H$2:$H$1132,'Serie municipal'!$B$2:$B$1132,$A13,'Serie municipal'!$G$2:$G$1132,"Deforestación",'Serie municipal'!$D$2:$D$1132,D$3)</f>
        <v>325.56</v>
      </c>
      <c r="E13" s="22">
        <f>SUMIFS('Serie municipal'!$H$2:$H$1132,'Serie municipal'!$B$2:$B$1132,$A13,'Serie municipal'!$G$2:$G$1132,"Deforestación",'Serie municipal'!$D$2:$D$1132,E$3)</f>
        <v>66.400000000000006</v>
      </c>
      <c r="F13" s="22">
        <f>SUMIFS('Serie municipal'!$H$2:$H$1132,'Serie municipal'!$B$2:$B$1132,$A13,'Serie municipal'!$G$2:$G$1132,"Deforestación",'Serie municipal'!$D$2:$D$1132,F$3)</f>
        <v>189.09</v>
      </c>
      <c r="G13" s="22">
        <f>SUMIFS('Serie municipal'!$H$2:$H$1132,'Serie municipal'!$B$2:$B$1132,$A13,'Serie municipal'!$G$2:$G$1132,"Deforestación",'Serie municipal'!$D$2:$D$1132,G$3)</f>
        <v>95.27</v>
      </c>
      <c r="H13" s="22">
        <f>SUMIFS('Serie municipal'!$H$2:$H$1132,'Serie municipal'!$B$2:$B$1132,$A13,'Serie municipal'!$G$2:$G$1132,"Deforestación",'Serie municipal'!$D$2:$D$1132,H$3)</f>
        <v>19.059999999999999</v>
      </c>
      <c r="I13" s="22">
        <f>SUMIFS('Serie municipal'!$H$2:$H$1132,'Serie municipal'!$B$2:$B$1132,$A13,'Serie municipal'!$G$2:$G$1132,"Deforestación",'Serie municipal'!$D$2:$D$1132,I$3)</f>
        <v>114.27</v>
      </c>
      <c r="J13" s="22">
        <f>SUMIFS('Serie municipal'!$H$2:$H$1132,'Serie municipal'!$B$2:$B$1132,$A13,'Serie municipal'!$G$2:$G$1132,"Deforestación",'Serie municipal'!$D$2:$D$1132,J$3)</f>
        <v>69.430000000000007</v>
      </c>
      <c r="K13" s="22">
        <f>SUMIFS('Serie municipal'!$H$2:$H$1132,'Serie municipal'!$B$2:$B$1132,$A13,'Serie municipal'!$G$2:$G$1132,"Deforestación",'Serie municipal'!$D$2:$D$1132,K$3)</f>
        <v>122.77</v>
      </c>
      <c r="L13" s="22">
        <f>SUMIFS('Serie municipal'!$H$2:$H$1132,'Serie municipal'!$B$2:$B$1132,$A13,'Serie municipal'!$G$2:$G$1132,"Deforestación",'Serie municipal'!$D$2:$D$1132,L$3)</f>
        <v>242.73</v>
      </c>
      <c r="M13" s="22">
        <f>SUMIFS('Serie municipal'!$H$2:$H$1132,'Serie municipal'!$B$2:$B$1132,$A13,'Serie municipal'!$G$2:$G$1132,"Deforestación",'Serie municipal'!$D$2:$D$1132,M$3)</f>
        <v>195.56</v>
      </c>
      <c r="N13" s="22">
        <f>SUMIFS('Serie municipal'!$H$2:$H$1132,'Serie municipal'!$B$2:$B$1132,$A13,'Serie municipal'!$G$2:$G$1132,"Deforestación",'Serie municipal'!$D$2:$D$1132,N$3)</f>
        <v>147.76</v>
      </c>
      <c r="O13" s="22">
        <f>SUMIFS('Serie municipal'!$H$2:$H$1132,'Serie municipal'!$B$2:$B$1132,$A13,'Serie municipal'!$G$2:$G$1132,"Deforestación",'Serie municipal'!$D$2:$D$1132,O$3)</f>
        <v>99.97</v>
      </c>
      <c r="P13" s="22">
        <f>SUMIFS('Serie municipal'!$H$2:$H$1132,'Serie municipal'!$B$2:$B$1132,$A13,'Serie municipal'!$G$2:$G$1132,"Deforestación",'Serie municipal'!$D$2:$D$1132,P$3)</f>
        <v>108.15</v>
      </c>
      <c r="Q13" s="22">
        <f>SUMIFS('Serie municipal'!$H$2:$H$1132,'Serie municipal'!$B$2:$B$1132,$A13,'Serie municipal'!$G$2:$G$1132,"Deforestación",'Serie municipal'!$D$2:$D$1132,Q$3)</f>
        <v>187.89</v>
      </c>
      <c r="R13" s="22">
        <f>SUMIFS('Serie municipal'!$H$2:$H$1132,'Serie municipal'!$B$2:$B$1132,$A13,'Serie municipal'!$G$2:$G$1132,"Deforestación",'Serie municipal'!$D$2:$D$1132,R$3)</f>
        <v>72.680000000000007</v>
      </c>
      <c r="S13" s="22">
        <f>SUMIFS('Serie municipal'!$H$2:$H$1132,'Serie municipal'!$B$2:$B$1132,$A13,'Serie municipal'!$G$2:$G$1132,"Deforestación",'Serie municipal'!$D$2:$D$1132,S$3)</f>
        <v>87.44</v>
      </c>
      <c r="T13" s="23">
        <f t="shared" si="0"/>
        <v>2200.5499999999997</v>
      </c>
    </row>
    <row r="14" spans="1:20" x14ac:dyDescent="0.25">
      <c r="A14" s="9" t="s">
        <v>71</v>
      </c>
      <c r="B14" s="22">
        <f>SUMIFS('Serie municipal'!$H$2:$H$1132,'Serie municipal'!$B$2:$B$1132,$A14,'Serie municipal'!$G$2:$G$1132,"Deforestación",'Serie municipal'!$D$2:$D$1132,B$3)</f>
        <v>285.86</v>
      </c>
      <c r="C14" s="22">
        <f>SUMIFS('Serie municipal'!$H$2:$H$1132,'Serie municipal'!$B$2:$B$1132,$A14,'Serie municipal'!$G$2:$G$1132,"Deforestación",'Serie municipal'!$D$2:$D$1132,C$3)</f>
        <v>575.37</v>
      </c>
      <c r="D14" s="22">
        <f>SUMIFS('Serie municipal'!$H$2:$H$1132,'Serie municipal'!$B$2:$B$1132,$A14,'Serie municipal'!$G$2:$G$1132,"Deforestación",'Serie municipal'!$D$2:$D$1132,D$3)</f>
        <v>314.64999999999998</v>
      </c>
      <c r="E14" s="22">
        <f>SUMIFS('Serie municipal'!$H$2:$H$1132,'Serie municipal'!$B$2:$B$1132,$A14,'Serie municipal'!$G$2:$G$1132,"Deforestación",'Serie municipal'!$D$2:$D$1132,E$3)</f>
        <v>368.77</v>
      </c>
      <c r="F14" s="22">
        <f>SUMIFS('Serie municipal'!$H$2:$H$1132,'Serie municipal'!$B$2:$B$1132,$A14,'Serie municipal'!$G$2:$G$1132,"Deforestación",'Serie municipal'!$D$2:$D$1132,F$3)</f>
        <v>558.14</v>
      </c>
      <c r="G14" s="22">
        <f>SUMIFS('Serie municipal'!$H$2:$H$1132,'Serie municipal'!$B$2:$B$1132,$A14,'Serie municipal'!$G$2:$G$1132,"Deforestación",'Serie municipal'!$D$2:$D$1132,G$3)</f>
        <v>270.38</v>
      </c>
      <c r="H14" s="22">
        <f>SUMIFS('Serie municipal'!$H$2:$H$1132,'Serie municipal'!$B$2:$B$1132,$A14,'Serie municipal'!$G$2:$G$1132,"Deforestación",'Serie municipal'!$D$2:$D$1132,H$3)</f>
        <v>43.32</v>
      </c>
      <c r="I14" s="22">
        <f>SUMIFS('Serie municipal'!$H$2:$H$1132,'Serie municipal'!$B$2:$B$1132,$A14,'Serie municipal'!$G$2:$G$1132,"Deforestación",'Serie municipal'!$D$2:$D$1132,I$3)</f>
        <v>116.46</v>
      </c>
      <c r="J14" s="22">
        <f>SUMIFS('Serie municipal'!$H$2:$H$1132,'Serie municipal'!$B$2:$B$1132,$A14,'Serie municipal'!$G$2:$G$1132,"Deforestación",'Serie municipal'!$D$2:$D$1132,J$3)</f>
        <v>159.35</v>
      </c>
      <c r="K14" s="22">
        <f>SUMIFS('Serie municipal'!$H$2:$H$1132,'Serie municipal'!$B$2:$B$1132,$A14,'Serie municipal'!$G$2:$G$1132,"Deforestación",'Serie municipal'!$D$2:$D$1132,K$3)</f>
        <v>360.19</v>
      </c>
      <c r="L14" s="22">
        <f>SUMIFS('Serie municipal'!$H$2:$H$1132,'Serie municipal'!$B$2:$B$1132,$A14,'Serie municipal'!$G$2:$G$1132,"Deforestación",'Serie municipal'!$D$2:$D$1132,L$3)</f>
        <v>517.24</v>
      </c>
      <c r="M14" s="22">
        <f>SUMIFS('Serie municipal'!$H$2:$H$1132,'Serie municipal'!$B$2:$B$1132,$A14,'Serie municipal'!$G$2:$G$1132,"Deforestación",'Serie municipal'!$D$2:$D$1132,M$3)</f>
        <v>136.6</v>
      </c>
      <c r="N14" s="22">
        <f>SUMIFS('Serie municipal'!$H$2:$H$1132,'Serie municipal'!$B$2:$B$1132,$A14,'Serie municipal'!$G$2:$G$1132,"Deforestación",'Serie municipal'!$D$2:$D$1132,N$3)</f>
        <v>181.07</v>
      </c>
      <c r="O14" s="22">
        <f>SUMIFS('Serie municipal'!$H$2:$H$1132,'Serie municipal'!$B$2:$B$1132,$A14,'Serie municipal'!$G$2:$G$1132,"Deforestación",'Serie municipal'!$D$2:$D$1132,O$3)</f>
        <v>225.55</v>
      </c>
      <c r="P14" s="22">
        <f>SUMIFS('Serie municipal'!$H$2:$H$1132,'Serie municipal'!$B$2:$B$1132,$A14,'Serie municipal'!$G$2:$G$1132,"Deforestación",'Serie municipal'!$D$2:$D$1132,P$3)</f>
        <v>122.33</v>
      </c>
      <c r="Q14" s="22">
        <f>SUMIFS('Serie municipal'!$H$2:$H$1132,'Serie municipal'!$B$2:$B$1132,$A14,'Serie municipal'!$G$2:$G$1132,"Deforestación",'Serie municipal'!$D$2:$D$1132,Q$3)</f>
        <v>277.89999999999998</v>
      </c>
      <c r="R14" s="22">
        <f>SUMIFS('Serie municipal'!$H$2:$H$1132,'Serie municipal'!$B$2:$B$1132,$A14,'Serie municipal'!$G$2:$G$1132,"Deforestación",'Serie municipal'!$D$2:$D$1132,R$3)</f>
        <v>83.92</v>
      </c>
      <c r="S14" s="22">
        <f>SUMIFS('Serie municipal'!$H$2:$H$1132,'Serie municipal'!$B$2:$B$1132,$A14,'Serie municipal'!$G$2:$G$1132,"Deforestación",'Serie municipal'!$D$2:$D$1132,S$3)</f>
        <v>122.98</v>
      </c>
      <c r="T14" s="23">
        <f t="shared" si="0"/>
        <v>4720.08</v>
      </c>
    </row>
    <row r="15" spans="1:20" x14ac:dyDescent="0.25">
      <c r="A15" s="9" t="s">
        <v>73</v>
      </c>
      <c r="B15" s="22">
        <f>SUMIFS('Serie municipal'!$H$2:$H$1132,'Serie municipal'!$B$2:$B$1132,$A15,'Serie municipal'!$G$2:$G$1132,"Deforestación",'Serie municipal'!$D$2:$D$1132,B$3)</f>
        <v>142.44999999999999</v>
      </c>
      <c r="C15" s="22">
        <f>SUMIFS('Serie municipal'!$H$2:$H$1132,'Serie municipal'!$B$2:$B$1132,$A15,'Serie municipal'!$G$2:$G$1132,"Deforestación",'Serie municipal'!$D$2:$D$1132,C$3)</f>
        <v>458.75</v>
      </c>
      <c r="D15" s="22">
        <f>SUMIFS('Serie municipal'!$H$2:$H$1132,'Serie municipal'!$B$2:$B$1132,$A15,'Serie municipal'!$G$2:$G$1132,"Deforestación",'Serie municipal'!$D$2:$D$1132,D$3)</f>
        <v>504.34</v>
      </c>
      <c r="E15" s="22">
        <f>SUMIFS('Serie municipal'!$H$2:$H$1132,'Serie municipal'!$B$2:$B$1132,$A15,'Serie municipal'!$G$2:$G$1132,"Deforestación",'Serie municipal'!$D$2:$D$1132,E$3)</f>
        <v>397.39</v>
      </c>
      <c r="F15" s="22">
        <f>SUMIFS('Serie municipal'!$H$2:$H$1132,'Serie municipal'!$B$2:$B$1132,$A15,'Serie municipal'!$G$2:$G$1132,"Deforestación",'Serie municipal'!$D$2:$D$1132,F$3)</f>
        <v>231.62</v>
      </c>
      <c r="G15" s="22">
        <f>SUMIFS('Serie municipal'!$H$2:$H$1132,'Serie municipal'!$B$2:$B$1132,$A15,'Serie municipal'!$G$2:$G$1132,"Deforestación",'Serie municipal'!$D$2:$D$1132,G$3)</f>
        <v>154.66</v>
      </c>
      <c r="H15" s="22">
        <f>SUMIFS('Serie municipal'!$H$2:$H$1132,'Serie municipal'!$B$2:$B$1132,$A15,'Serie municipal'!$G$2:$G$1132,"Deforestación",'Serie municipal'!$D$2:$D$1132,H$3)</f>
        <v>68.599999999999994</v>
      </c>
      <c r="I15" s="22">
        <f>SUMIFS('Serie municipal'!$H$2:$H$1132,'Serie municipal'!$B$2:$B$1132,$A15,'Serie municipal'!$G$2:$G$1132,"Deforestación",'Serie municipal'!$D$2:$D$1132,I$3)</f>
        <v>118.71</v>
      </c>
      <c r="J15" s="22">
        <f>SUMIFS('Serie municipal'!$H$2:$H$1132,'Serie municipal'!$B$2:$B$1132,$A15,'Serie municipal'!$G$2:$G$1132,"Deforestación",'Serie municipal'!$D$2:$D$1132,J$3)</f>
        <v>6.55</v>
      </c>
      <c r="K15" s="22">
        <f>SUMIFS('Serie municipal'!$H$2:$H$1132,'Serie municipal'!$B$2:$B$1132,$A15,'Serie municipal'!$G$2:$G$1132,"Deforestación",'Serie municipal'!$D$2:$D$1132,K$3)</f>
        <v>56.97</v>
      </c>
      <c r="L15" s="22">
        <f>SUMIFS('Serie municipal'!$H$2:$H$1132,'Serie municipal'!$B$2:$B$1132,$A15,'Serie municipal'!$G$2:$G$1132,"Deforestación",'Serie municipal'!$D$2:$D$1132,L$3)</f>
        <v>32.229999999999997</v>
      </c>
      <c r="M15" s="22">
        <f>SUMIFS('Serie municipal'!$H$2:$H$1132,'Serie municipal'!$B$2:$B$1132,$A15,'Serie municipal'!$G$2:$G$1132,"Deforestación",'Serie municipal'!$D$2:$D$1132,M$3)</f>
        <v>6.16</v>
      </c>
      <c r="N15" s="22">
        <f>SUMIFS('Serie municipal'!$H$2:$H$1132,'Serie municipal'!$B$2:$B$1132,$A15,'Serie municipal'!$G$2:$G$1132,"Deforestación",'Serie municipal'!$D$2:$D$1132,N$3)</f>
        <v>19.12</v>
      </c>
      <c r="O15" s="22">
        <f>SUMIFS('Serie municipal'!$H$2:$H$1132,'Serie municipal'!$B$2:$B$1132,$A15,'Serie municipal'!$G$2:$G$1132,"Deforestación",'Serie municipal'!$D$2:$D$1132,O$3)</f>
        <v>32.090000000000003</v>
      </c>
      <c r="P15" s="22">
        <f>SUMIFS('Serie municipal'!$H$2:$H$1132,'Serie municipal'!$B$2:$B$1132,$A15,'Serie municipal'!$G$2:$G$1132,"Deforestación",'Serie municipal'!$D$2:$D$1132,P$3)</f>
        <v>24.91</v>
      </c>
      <c r="Q15" s="22">
        <f>SUMIFS('Serie municipal'!$H$2:$H$1132,'Serie municipal'!$B$2:$B$1132,$A15,'Serie municipal'!$G$2:$G$1132,"Deforestación",'Serie municipal'!$D$2:$D$1132,Q$3)</f>
        <v>23.93</v>
      </c>
      <c r="R15" s="22">
        <f>SUMIFS('Serie municipal'!$H$2:$H$1132,'Serie municipal'!$B$2:$B$1132,$A15,'Serie municipal'!$G$2:$G$1132,"Deforestación",'Serie municipal'!$D$2:$D$1132,R$3)</f>
        <v>34.68</v>
      </c>
      <c r="S15" s="22">
        <f>SUMIFS('Serie municipal'!$H$2:$H$1132,'Serie municipal'!$B$2:$B$1132,$A15,'Serie municipal'!$G$2:$G$1132,"Deforestación",'Serie municipal'!$D$2:$D$1132,S$3)</f>
        <v>37.6</v>
      </c>
      <c r="T15" s="23">
        <f t="shared" si="0"/>
        <v>2350.7599999999989</v>
      </c>
    </row>
    <row r="16" spans="1:20" x14ac:dyDescent="0.25">
      <c r="A16" s="9" t="s">
        <v>75</v>
      </c>
      <c r="B16" s="22">
        <f>SUMIFS('Serie municipal'!$H$2:$H$1132,'Serie municipal'!$B$2:$B$1132,$A16,'Serie municipal'!$G$2:$G$1132,"Deforestación",'Serie municipal'!$D$2:$D$1132,B$3)</f>
        <v>26.19</v>
      </c>
      <c r="C16" s="22">
        <f>SUMIFS('Serie municipal'!$H$2:$H$1132,'Serie municipal'!$B$2:$B$1132,$A16,'Serie municipal'!$G$2:$G$1132,"Deforestación",'Serie municipal'!$D$2:$D$1132,C$3)</f>
        <v>52.97</v>
      </c>
      <c r="D16" s="22">
        <f>SUMIFS('Serie municipal'!$H$2:$H$1132,'Serie municipal'!$B$2:$B$1132,$A16,'Serie municipal'!$G$2:$G$1132,"Deforestación",'Serie municipal'!$D$2:$D$1132,D$3)</f>
        <v>9.66</v>
      </c>
      <c r="E16" s="22">
        <f>SUMIFS('Serie municipal'!$H$2:$H$1132,'Serie municipal'!$B$2:$B$1132,$A16,'Serie municipal'!$G$2:$G$1132,"Deforestación",'Serie municipal'!$D$2:$D$1132,E$3)</f>
        <v>5.07</v>
      </c>
      <c r="F16" s="22">
        <f>SUMIFS('Serie municipal'!$H$2:$H$1132,'Serie municipal'!$B$2:$B$1132,$A16,'Serie municipal'!$G$2:$G$1132,"Deforestación",'Serie municipal'!$D$2:$D$1132,F$3)</f>
        <v>9.86</v>
      </c>
      <c r="G16" s="22">
        <f>SUMIFS('Serie municipal'!$H$2:$H$1132,'Serie municipal'!$B$2:$B$1132,$A16,'Serie municipal'!$G$2:$G$1132,"Deforestación",'Serie municipal'!$D$2:$D$1132,G$3)</f>
        <v>52.86</v>
      </c>
      <c r="H16" s="22">
        <f>SUMIFS('Serie municipal'!$H$2:$H$1132,'Serie municipal'!$B$2:$B$1132,$A16,'Serie municipal'!$G$2:$G$1132,"Deforestación",'Serie municipal'!$D$2:$D$1132,H$3)</f>
        <v>58.1</v>
      </c>
      <c r="I16" s="22">
        <f>SUMIFS('Serie municipal'!$H$2:$H$1132,'Serie municipal'!$B$2:$B$1132,$A16,'Serie municipal'!$G$2:$G$1132,"Deforestación",'Serie municipal'!$D$2:$D$1132,I$3)</f>
        <v>17.66</v>
      </c>
      <c r="J16" s="22">
        <f>SUMIFS('Serie municipal'!$H$2:$H$1132,'Serie municipal'!$B$2:$B$1132,$A16,'Serie municipal'!$G$2:$G$1132,"Deforestación",'Serie municipal'!$D$2:$D$1132,J$3)</f>
        <v>19.13</v>
      </c>
      <c r="K16" s="22">
        <f>SUMIFS('Serie municipal'!$H$2:$H$1132,'Serie municipal'!$B$2:$B$1132,$A16,'Serie municipal'!$G$2:$G$1132,"Deforestación",'Serie municipal'!$D$2:$D$1132,K$3)</f>
        <v>4.54</v>
      </c>
      <c r="L16" s="22">
        <f>SUMIFS('Serie municipal'!$H$2:$H$1132,'Serie municipal'!$B$2:$B$1132,$A16,'Serie municipal'!$G$2:$G$1132,"Deforestación",'Serie municipal'!$D$2:$D$1132,L$3)</f>
        <v>39.28</v>
      </c>
      <c r="M16" s="22">
        <f>SUMIFS('Serie municipal'!$H$2:$H$1132,'Serie municipal'!$B$2:$B$1132,$A16,'Serie municipal'!$G$2:$G$1132,"Deforestación",'Serie municipal'!$D$2:$D$1132,M$3)</f>
        <v>18.579999999999998</v>
      </c>
      <c r="N16" s="22">
        <f>SUMIFS('Serie municipal'!$H$2:$H$1132,'Serie municipal'!$B$2:$B$1132,$A16,'Serie municipal'!$G$2:$G$1132,"Deforestación",'Serie municipal'!$D$2:$D$1132,N$3)</f>
        <v>28.84</v>
      </c>
      <c r="O16" s="22">
        <f>SUMIFS('Serie municipal'!$H$2:$H$1132,'Serie municipal'!$B$2:$B$1132,$A16,'Serie municipal'!$G$2:$G$1132,"Deforestación",'Serie municipal'!$D$2:$D$1132,O$3)</f>
        <v>39.090000000000003</v>
      </c>
      <c r="P16" s="22">
        <f>SUMIFS('Serie municipal'!$H$2:$H$1132,'Serie municipal'!$B$2:$B$1132,$A16,'Serie municipal'!$G$2:$G$1132,"Deforestación",'Serie municipal'!$D$2:$D$1132,P$3)</f>
        <v>9.82</v>
      </c>
      <c r="Q16" s="22">
        <f>SUMIFS('Serie municipal'!$H$2:$H$1132,'Serie municipal'!$B$2:$B$1132,$A16,'Serie municipal'!$G$2:$G$1132,"Deforestación",'Serie municipal'!$D$2:$D$1132,Q$3)</f>
        <v>3.84</v>
      </c>
      <c r="R16" s="22">
        <f>SUMIFS('Serie municipal'!$H$2:$H$1132,'Serie municipal'!$B$2:$B$1132,$A16,'Serie municipal'!$G$2:$G$1132,"Deforestación",'Serie municipal'!$D$2:$D$1132,R$3)</f>
        <v>4.6900000000000004</v>
      </c>
      <c r="S16" s="22">
        <f>SUMIFS('Serie municipal'!$H$2:$H$1132,'Serie municipal'!$B$2:$B$1132,$A16,'Serie municipal'!$G$2:$G$1132,"Deforestación",'Serie municipal'!$D$2:$D$1132,S$3)</f>
        <v>0.98</v>
      </c>
      <c r="T16" s="23">
        <f t="shared" si="0"/>
        <v>401.15999999999991</v>
      </c>
    </row>
    <row r="17" spans="1:20" x14ac:dyDescent="0.25">
      <c r="A17" s="9" t="s">
        <v>77</v>
      </c>
      <c r="B17" s="22">
        <f>SUMIFS('Serie municipal'!$H$2:$H$1132,'Serie municipal'!$B$2:$B$1132,$A17,'Serie municipal'!$G$2:$G$1132,"Deforestación",'Serie municipal'!$D$2:$D$1132,B$3)</f>
        <v>0</v>
      </c>
      <c r="C17" s="22">
        <f>SUMIFS('Serie municipal'!$H$2:$H$1132,'Serie municipal'!$B$2:$B$1132,$A17,'Serie municipal'!$G$2:$G$1132,"Deforestación",'Serie municipal'!$D$2:$D$1132,C$3)</f>
        <v>2.3199999999999998</v>
      </c>
      <c r="D17" s="22">
        <f>SUMIFS('Serie municipal'!$H$2:$H$1132,'Serie municipal'!$B$2:$B$1132,$A17,'Serie municipal'!$G$2:$G$1132,"Deforestación",'Serie municipal'!$D$2:$D$1132,D$3)</f>
        <v>7.98</v>
      </c>
      <c r="E17" s="22">
        <f>SUMIFS('Serie municipal'!$H$2:$H$1132,'Serie municipal'!$B$2:$B$1132,$A17,'Serie municipal'!$G$2:$G$1132,"Deforestación",'Serie municipal'!$D$2:$D$1132,E$3)</f>
        <v>1.41</v>
      </c>
      <c r="F17" s="22">
        <f>SUMIFS('Serie municipal'!$H$2:$H$1132,'Serie municipal'!$B$2:$B$1132,$A17,'Serie municipal'!$G$2:$G$1132,"Deforestación",'Serie municipal'!$D$2:$D$1132,F$3)</f>
        <v>0</v>
      </c>
      <c r="G17" s="22">
        <f>SUMIFS('Serie municipal'!$H$2:$H$1132,'Serie municipal'!$B$2:$B$1132,$A17,'Serie municipal'!$G$2:$G$1132,"Deforestación",'Serie municipal'!$D$2:$D$1132,G$3)</f>
        <v>2.83</v>
      </c>
      <c r="H17" s="22">
        <f>SUMIFS('Serie municipal'!$H$2:$H$1132,'Serie municipal'!$B$2:$B$1132,$A17,'Serie municipal'!$G$2:$G$1132,"Deforestación",'Serie municipal'!$D$2:$D$1132,H$3)</f>
        <v>0</v>
      </c>
      <c r="I17" s="22">
        <f>SUMIFS('Serie municipal'!$H$2:$H$1132,'Serie municipal'!$B$2:$B$1132,$A17,'Serie municipal'!$G$2:$G$1132,"Deforestación",'Serie municipal'!$D$2:$D$1132,I$3)</f>
        <v>0</v>
      </c>
      <c r="J17" s="22">
        <f>SUMIFS('Serie municipal'!$H$2:$H$1132,'Serie municipal'!$B$2:$B$1132,$A17,'Serie municipal'!$G$2:$G$1132,"Deforestación",'Serie municipal'!$D$2:$D$1132,J$3)</f>
        <v>0</v>
      </c>
      <c r="K17" s="22">
        <f>SUMIFS('Serie municipal'!$H$2:$H$1132,'Serie municipal'!$B$2:$B$1132,$A17,'Serie municipal'!$G$2:$G$1132,"Deforestación",'Serie municipal'!$D$2:$D$1132,K$3)</f>
        <v>0</v>
      </c>
      <c r="L17" s="22">
        <f>SUMIFS('Serie municipal'!$H$2:$H$1132,'Serie municipal'!$B$2:$B$1132,$A17,'Serie municipal'!$G$2:$G$1132,"Deforestación",'Serie municipal'!$D$2:$D$1132,L$3)</f>
        <v>0</v>
      </c>
      <c r="M17" s="22">
        <f>SUMIFS('Serie municipal'!$H$2:$H$1132,'Serie municipal'!$B$2:$B$1132,$A17,'Serie municipal'!$G$2:$G$1132,"Deforestación",'Serie municipal'!$D$2:$D$1132,M$3)</f>
        <v>2.67</v>
      </c>
      <c r="N17" s="22">
        <f>SUMIFS('Serie municipal'!$H$2:$H$1132,'Serie municipal'!$B$2:$B$1132,$A17,'Serie municipal'!$G$2:$G$1132,"Deforestación",'Serie municipal'!$D$2:$D$1132,N$3)</f>
        <v>4.17</v>
      </c>
      <c r="O17" s="22">
        <f>SUMIFS('Serie municipal'!$H$2:$H$1132,'Serie municipal'!$B$2:$B$1132,$A17,'Serie municipal'!$G$2:$G$1132,"Deforestación",'Serie municipal'!$D$2:$D$1132,O$3)</f>
        <v>5.67</v>
      </c>
      <c r="P17" s="22">
        <f>SUMIFS('Serie municipal'!$H$2:$H$1132,'Serie municipal'!$B$2:$B$1132,$A17,'Serie municipal'!$G$2:$G$1132,"Deforestación",'Serie municipal'!$D$2:$D$1132,P$3)</f>
        <v>0</v>
      </c>
      <c r="Q17" s="22">
        <f>SUMIFS('Serie municipal'!$H$2:$H$1132,'Serie municipal'!$B$2:$B$1132,$A17,'Serie municipal'!$G$2:$G$1132,"Deforestación",'Serie municipal'!$D$2:$D$1132,Q$3)</f>
        <v>13.94</v>
      </c>
      <c r="R17" s="22">
        <f>SUMIFS('Serie municipal'!$H$2:$H$1132,'Serie municipal'!$B$2:$B$1132,$A17,'Serie municipal'!$G$2:$G$1132,"Deforestación",'Serie municipal'!$D$2:$D$1132,R$3)</f>
        <v>8.6199999999999992</v>
      </c>
      <c r="S17" s="22">
        <f>SUMIFS('Serie municipal'!$H$2:$H$1132,'Serie municipal'!$B$2:$B$1132,$A17,'Serie municipal'!$G$2:$G$1132,"Deforestación",'Serie municipal'!$D$2:$D$1132,S$3)</f>
        <v>12.35</v>
      </c>
      <c r="T17" s="23">
        <f t="shared" si="0"/>
        <v>61.96</v>
      </c>
    </row>
    <row r="18" spans="1:20" x14ac:dyDescent="0.25">
      <c r="A18" s="9" t="s">
        <v>79</v>
      </c>
      <c r="B18" s="22">
        <f>SUMIFS('Serie municipal'!$H$2:$H$1132,'Serie municipal'!$B$2:$B$1132,$A18,'Serie municipal'!$G$2:$G$1132,"Deforestación",'Serie municipal'!$D$2:$D$1132,B$3)</f>
        <v>0.79</v>
      </c>
      <c r="C18" s="22">
        <f>SUMIFS('Serie municipal'!$H$2:$H$1132,'Serie municipal'!$B$2:$B$1132,$A18,'Serie municipal'!$G$2:$G$1132,"Deforestación",'Serie municipal'!$D$2:$D$1132,C$3)</f>
        <v>14.19</v>
      </c>
      <c r="D18" s="22">
        <f>SUMIFS('Serie municipal'!$H$2:$H$1132,'Serie municipal'!$B$2:$B$1132,$A18,'Serie municipal'!$G$2:$G$1132,"Deforestación",'Serie municipal'!$D$2:$D$1132,D$3)</f>
        <v>26.41</v>
      </c>
      <c r="E18" s="22">
        <f>SUMIFS('Serie municipal'!$H$2:$H$1132,'Serie municipal'!$B$2:$B$1132,$A18,'Serie municipal'!$G$2:$G$1132,"Deforestación",'Serie municipal'!$D$2:$D$1132,E$3)</f>
        <v>7.36</v>
      </c>
      <c r="F18" s="22">
        <f>SUMIFS('Serie municipal'!$H$2:$H$1132,'Serie municipal'!$B$2:$B$1132,$A18,'Serie municipal'!$G$2:$G$1132,"Deforestación",'Serie municipal'!$D$2:$D$1132,F$3)</f>
        <v>23.96</v>
      </c>
      <c r="G18" s="22">
        <f>SUMIFS('Serie municipal'!$H$2:$H$1132,'Serie municipal'!$B$2:$B$1132,$A18,'Serie municipal'!$G$2:$G$1132,"Deforestación",'Serie municipal'!$D$2:$D$1132,G$3)</f>
        <v>14.96</v>
      </c>
      <c r="H18" s="22">
        <f>SUMIFS('Serie municipal'!$H$2:$H$1132,'Serie municipal'!$B$2:$B$1132,$A18,'Serie municipal'!$G$2:$G$1132,"Deforestación",'Serie municipal'!$D$2:$D$1132,H$3)</f>
        <v>5.86</v>
      </c>
      <c r="I18" s="22">
        <f>SUMIFS('Serie municipal'!$H$2:$H$1132,'Serie municipal'!$B$2:$B$1132,$A18,'Serie municipal'!$G$2:$G$1132,"Deforestación",'Serie municipal'!$D$2:$D$1132,I$3)</f>
        <v>8.31</v>
      </c>
      <c r="J18" s="22">
        <f>SUMIFS('Serie municipal'!$H$2:$H$1132,'Serie municipal'!$B$2:$B$1132,$A18,'Serie municipal'!$G$2:$G$1132,"Deforestación",'Serie municipal'!$D$2:$D$1132,J$3)</f>
        <v>0</v>
      </c>
      <c r="K18" s="22">
        <f>SUMIFS('Serie municipal'!$H$2:$H$1132,'Serie municipal'!$B$2:$B$1132,$A18,'Serie municipal'!$G$2:$G$1132,"Deforestación",'Serie municipal'!$D$2:$D$1132,K$3)</f>
        <v>6.75</v>
      </c>
      <c r="L18" s="22">
        <f>SUMIFS('Serie municipal'!$H$2:$H$1132,'Serie municipal'!$B$2:$B$1132,$A18,'Serie municipal'!$G$2:$G$1132,"Deforestación",'Serie municipal'!$D$2:$D$1132,L$3)</f>
        <v>2.96</v>
      </c>
      <c r="M18" s="22">
        <f>SUMIFS('Serie municipal'!$H$2:$H$1132,'Serie municipal'!$B$2:$B$1132,$A18,'Serie municipal'!$G$2:$G$1132,"Deforestación",'Serie municipal'!$D$2:$D$1132,M$3)</f>
        <v>6.27</v>
      </c>
      <c r="N18" s="22">
        <f>SUMIFS('Serie municipal'!$H$2:$H$1132,'Serie municipal'!$B$2:$B$1132,$A18,'Serie municipal'!$G$2:$G$1132,"Deforestación",'Serie municipal'!$D$2:$D$1132,N$3)</f>
        <v>13.44</v>
      </c>
      <c r="O18" s="22">
        <f>SUMIFS('Serie municipal'!$H$2:$H$1132,'Serie municipal'!$B$2:$B$1132,$A18,'Serie municipal'!$G$2:$G$1132,"Deforestación",'Serie municipal'!$D$2:$D$1132,O$3)</f>
        <v>20.62</v>
      </c>
      <c r="P18" s="22">
        <f>SUMIFS('Serie municipal'!$H$2:$H$1132,'Serie municipal'!$B$2:$B$1132,$A18,'Serie municipal'!$G$2:$G$1132,"Deforestación",'Serie municipal'!$D$2:$D$1132,P$3)</f>
        <v>5.97</v>
      </c>
      <c r="Q18" s="22">
        <f>SUMIFS('Serie municipal'!$H$2:$H$1132,'Serie municipal'!$B$2:$B$1132,$A18,'Serie municipal'!$G$2:$G$1132,"Deforestación",'Serie municipal'!$D$2:$D$1132,Q$3)</f>
        <v>8.85</v>
      </c>
      <c r="R18" s="22">
        <f>SUMIFS('Serie municipal'!$H$2:$H$1132,'Serie municipal'!$B$2:$B$1132,$A18,'Serie municipal'!$G$2:$G$1132,"Deforestación",'Serie municipal'!$D$2:$D$1132,R$3)</f>
        <v>13.55</v>
      </c>
      <c r="S18" s="22">
        <f>SUMIFS('Serie municipal'!$H$2:$H$1132,'Serie municipal'!$B$2:$B$1132,$A18,'Serie municipal'!$G$2:$G$1132,"Deforestación",'Serie municipal'!$D$2:$D$1132,S$3)</f>
        <v>17.03</v>
      </c>
      <c r="T18" s="23">
        <f t="shared" si="0"/>
        <v>197.28000000000003</v>
      </c>
    </row>
    <row r="19" spans="1:20" x14ac:dyDescent="0.25">
      <c r="A19" s="9" t="s">
        <v>81</v>
      </c>
      <c r="B19" s="22">
        <f>SUMIFS('Serie municipal'!$H$2:$H$1132,'Serie municipal'!$B$2:$B$1132,$A19,'Serie municipal'!$G$2:$G$1132,"Deforestación",'Serie municipal'!$D$2:$D$1132,B$3)</f>
        <v>153.08000000000001</v>
      </c>
      <c r="C19" s="22">
        <f>SUMIFS('Serie municipal'!$H$2:$H$1132,'Serie municipal'!$B$2:$B$1132,$A19,'Serie municipal'!$G$2:$G$1132,"Deforestación",'Serie municipal'!$D$2:$D$1132,C$3)</f>
        <v>1231.42</v>
      </c>
      <c r="D19" s="22">
        <f>SUMIFS('Serie municipal'!$H$2:$H$1132,'Serie municipal'!$B$2:$B$1132,$A19,'Serie municipal'!$G$2:$G$1132,"Deforestación",'Serie municipal'!$D$2:$D$1132,D$3)</f>
        <v>807.8</v>
      </c>
      <c r="E19" s="22">
        <f>SUMIFS('Serie municipal'!$H$2:$H$1132,'Serie municipal'!$B$2:$B$1132,$A19,'Serie municipal'!$G$2:$G$1132,"Deforestación",'Serie municipal'!$D$2:$D$1132,E$3)</f>
        <v>711.28</v>
      </c>
      <c r="F19" s="22">
        <f>SUMIFS('Serie municipal'!$H$2:$H$1132,'Serie municipal'!$B$2:$B$1132,$A19,'Serie municipal'!$G$2:$G$1132,"Deforestación",'Serie municipal'!$D$2:$D$1132,F$3)</f>
        <v>724.5</v>
      </c>
      <c r="G19" s="22">
        <f>SUMIFS('Serie municipal'!$H$2:$H$1132,'Serie municipal'!$B$2:$B$1132,$A19,'Serie municipal'!$G$2:$G$1132,"Deforestación",'Serie municipal'!$D$2:$D$1132,G$3)</f>
        <v>773.75</v>
      </c>
      <c r="H19" s="22">
        <f>SUMIFS('Serie municipal'!$H$2:$H$1132,'Serie municipal'!$B$2:$B$1132,$A19,'Serie municipal'!$G$2:$G$1132,"Deforestación",'Serie municipal'!$D$2:$D$1132,H$3)</f>
        <v>560.35</v>
      </c>
      <c r="I19" s="22">
        <f>SUMIFS('Serie municipal'!$H$2:$H$1132,'Serie municipal'!$B$2:$B$1132,$A19,'Serie municipal'!$G$2:$G$1132,"Deforestación",'Serie municipal'!$D$2:$D$1132,I$3)</f>
        <v>1142.4100000000001</v>
      </c>
      <c r="J19" s="22">
        <f>SUMIFS('Serie municipal'!$H$2:$H$1132,'Serie municipal'!$B$2:$B$1132,$A19,'Serie municipal'!$G$2:$G$1132,"Deforestación",'Serie municipal'!$D$2:$D$1132,J$3)</f>
        <v>1770.9</v>
      </c>
      <c r="K19" s="22">
        <f>SUMIFS('Serie municipal'!$H$2:$H$1132,'Serie municipal'!$B$2:$B$1132,$A19,'Serie municipal'!$G$2:$G$1132,"Deforestación",'Serie municipal'!$D$2:$D$1132,K$3)</f>
        <v>3222.95</v>
      </c>
      <c r="L19" s="22">
        <f>SUMIFS('Serie municipal'!$H$2:$H$1132,'Serie municipal'!$B$2:$B$1132,$A19,'Serie municipal'!$G$2:$G$1132,"Deforestación",'Serie municipal'!$D$2:$D$1132,L$3)</f>
        <v>734.38</v>
      </c>
      <c r="M19" s="22">
        <f>SUMIFS('Serie municipal'!$H$2:$H$1132,'Serie municipal'!$B$2:$B$1132,$A19,'Serie municipal'!$G$2:$G$1132,"Deforestación",'Serie municipal'!$D$2:$D$1132,M$3)</f>
        <v>311.10000000000002</v>
      </c>
      <c r="N19" s="22">
        <f>SUMIFS('Serie municipal'!$H$2:$H$1132,'Serie municipal'!$B$2:$B$1132,$A19,'Serie municipal'!$G$2:$G$1132,"Deforestación",'Serie municipal'!$D$2:$D$1132,N$3)</f>
        <v>277.18</v>
      </c>
      <c r="O19" s="22">
        <f>SUMIFS('Serie municipal'!$H$2:$H$1132,'Serie municipal'!$B$2:$B$1132,$A19,'Serie municipal'!$G$2:$G$1132,"Deforestación",'Serie municipal'!$D$2:$D$1132,O$3)</f>
        <v>243.25</v>
      </c>
      <c r="P19" s="22">
        <f>SUMIFS('Serie municipal'!$H$2:$H$1132,'Serie municipal'!$B$2:$B$1132,$A19,'Serie municipal'!$G$2:$G$1132,"Deforestación",'Serie municipal'!$D$2:$D$1132,P$3)</f>
        <v>76.98</v>
      </c>
      <c r="Q19" s="22">
        <f>SUMIFS('Serie municipal'!$H$2:$H$1132,'Serie municipal'!$B$2:$B$1132,$A19,'Serie municipal'!$G$2:$G$1132,"Deforestación",'Serie municipal'!$D$2:$D$1132,Q$3)</f>
        <v>212.49</v>
      </c>
      <c r="R19" s="22">
        <f>SUMIFS('Serie municipal'!$H$2:$H$1132,'Serie municipal'!$B$2:$B$1132,$A19,'Serie municipal'!$G$2:$G$1132,"Deforestación",'Serie municipal'!$D$2:$D$1132,R$3)</f>
        <v>143.83000000000001</v>
      </c>
      <c r="S19" s="22">
        <f>SUMIFS('Serie municipal'!$H$2:$H$1132,'Serie municipal'!$B$2:$B$1132,$A19,'Serie municipal'!$G$2:$G$1132,"Deforestación",'Serie municipal'!$D$2:$D$1132,S$3)</f>
        <v>211.29</v>
      </c>
      <c r="T19" s="23">
        <f t="shared" si="0"/>
        <v>13308.939999999999</v>
      </c>
    </row>
    <row r="20" spans="1:20" x14ac:dyDescent="0.25">
      <c r="A20" s="9" t="s">
        <v>83</v>
      </c>
      <c r="B20" s="22">
        <f>SUMIFS('Serie municipal'!$H$2:$H$1132,'Serie municipal'!$B$2:$B$1132,$A20,'Serie municipal'!$G$2:$G$1132,"Deforestación",'Serie municipal'!$D$2:$D$1132,B$3)</f>
        <v>17</v>
      </c>
      <c r="C20" s="22">
        <f>SUMIFS('Serie municipal'!$H$2:$H$1132,'Serie municipal'!$B$2:$B$1132,$A20,'Serie municipal'!$G$2:$G$1132,"Deforestación",'Serie municipal'!$D$2:$D$1132,C$3)</f>
        <v>21.56</v>
      </c>
      <c r="D20" s="22">
        <f>SUMIFS('Serie municipal'!$H$2:$H$1132,'Serie municipal'!$B$2:$B$1132,$A20,'Serie municipal'!$G$2:$G$1132,"Deforestación",'Serie municipal'!$D$2:$D$1132,D$3)</f>
        <v>6.27</v>
      </c>
      <c r="E20" s="22">
        <f>SUMIFS('Serie municipal'!$H$2:$H$1132,'Serie municipal'!$B$2:$B$1132,$A20,'Serie municipal'!$G$2:$G$1132,"Deforestación",'Serie municipal'!$D$2:$D$1132,E$3)</f>
        <v>14.61</v>
      </c>
      <c r="F20" s="22">
        <f>SUMIFS('Serie municipal'!$H$2:$H$1132,'Serie municipal'!$B$2:$B$1132,$A20,'Serie municipal'!$G$2:$G$1132,"Deforestación",'Serie municipal'!$D$2:$D$1132,F$3)</f>
        <v>2.62</v>
      </c>
      <c r="G20" s="22">
        <f>SUMIFS('Serie municipal'!$H$2:$H$1132,'Serie municipal'!$B$2:$B$1132,$A20,'Serie municipal'!$G$2:$G$1132,"Deforestación",'Serie municipal'!$D$2:$D$1132,G$3)</f>
        <v>113.82</v>
      </c>
      <c r="H20" s="22">
        <f>SUMIFS('Serie municipal'!$H$2:$H$1132,'Serie municipal'!$B$2:$B$1132,$A20,'Serie municipal'!$G$2:$G$1132,"Deforestación",'Serie municipal'!$D$2:$D$1132,H$3)</f>
        <v>134.41999999999999</v>
      </c>
      <c r="I20" s="22">
        <f>SUMIFS('Serie municipal'!$H$2:$H$1132,'Serie municipal'!$B$2:$B$1132,$A20,'Serie municipal'!$G$2:$G$1132,"Deforestación",'Serie municipal'!$D$2:$D$1132,I$3)</f>
        <v>59.22</v>
      </c>
      <c r="J20" s="22">
        <f>SUMIFS('Serie municipal'!$H$2:$H$1132,'Serie municipal'!$B$2:$B$1132,$A20,'Serie municipal'!$G$2:$G$1132,"Deforestación",'Serie municipal'!$D$2:$D$1132,J$3)</f>
        <v>36.97</v>
      </c>
      <c r="K20" s="22">
        <f>SUMIFS('Serie municipal'!$H$2:$H$1132,'Serie municipal'!$B$2:$B$1132,$A20,'Serie municipal'!$G$2:$G$1132,"Deforestación",'Serie municipal'!$D$2:$D$1132,K$3)</f>
        <v>7.57</v>
      </c>
      <c r="L20" s="22">
        <f>SUMIFS('Serie municipal'!$H$2:$H$1132,'Serie municipal'!$B$2:$B$1132,$A20,'Serie municipal'!$G$2:$G$1132,"Deforestación",'Serie municipal'!$D$2:$D$1132,L$3)</f>
        <v>39.22</v>
      </c>
      <c r="M20" s="22">
        <f>SUMIFS('Serie municipal'!$H$2:$H$1132,'Serie municipal'!$B$2:$B$1132,$A20,'Serie municipal'!$G$2:$G$1132,"Deforestación",'Serie municipal'!$D$2:$D$1132,M$3)</f>
        <v>8.92</v>
      </c>
      <c r="N20" s="22">
        <f>SUMIFS('Serie municipal'!$H$2:$H$1132,'Serie municipal'!$B$2:$B$1132,$A20,'Serie municipal'!$G$2:$G$1132,"Deforestación",'Serie municipal'!$D$2:$D$1132,N$3)</f>
        <v>11.36</v>
      </c>
      <c r="O20" s="22">
        <f>SUMIFS('Serie municipal'!$H$2:$H$1132,'Serie municipal'!$B$2:$B$1132,$A20,'Serie municipal'!$G$2:$G$1132,"Deforestación",'Serie municipal'!$D$2:$D$1132,O$3)</f>
        <v>13.8</v>
      </c>
      <c r="P20" s="22">
        <f>SUMIFS('Serie municipal'!$H$2:$H$1132,'Serie municipal'!$B$2:$B$1132,$A20,'Serie municipal'!$G$2:$G$1132,"Deforestación",'Serie municipal'!$D$2:$D$1132,P$3)</f>
        <v>3.93</v>
      </c>
      <c r="Q20" s="22">
        <f>SUMIFS('Serie municipal'!$H$2:$H$1132,'Serie municipal'!$B$2:$B$1132,$A20,'Serie municipal'!$G$2:$G$1132,"Deforestación",'Serie municipal'!$D$2:$D$1132,Q$3)</f>
        <v>0.84</v>
      </c>
      <c r="R20" s="22">
        <f>SUMIFS('Serie municipal'!$H$2:$H$1132,'Serie municipal'!$B$2:$B$1132,$A20,'Serie municipal'!$G$2:$G$1132,"Deforestación",'Serie municipal'!$D$2:$D$1132,R$3)</f>
        <v>6.16</v>
      </c>
      <c r="S20" s="22">
        <f>SUMIFS('Serie municipal'!$H$2:$H$1132,'Serie municipal'!$B$2:$B$1132,$A20,'Serie municipal'!$G$2:$G$1132,"Deforestación",'Serie municipal'!$D$2:$D$1132,S$3)</f>
        <v>5.87</v>
      </c>
      <c r="T20" s="23">
        <f t="shared" si="0"/>
        <v>504.16</v>
      </c>
    </row>
    <row r="21" spans="1:20" x14ac:dyDescent="0.25">
      <c r="A21" s="9" t="s">
        <v>85</v>
      </c>
      <c r="B21" s="22">
        <f>SUMIFS('Serie municipal'!$H$2:$H$1132,'Serie municipal'!$B$2:$B$1132,$A21,'Serie municipal'!$G$2:$G$1132,"Deforestación",'Serie municipal'!$D$2:$D$1132,B$3)</f>
        <v>482.46</v>
      </c>
      <c r="C21" s="22">
        <f>SUMIFS('Serie municipal'!$H$2:$H$1132,'Serie municipal'!$B$2:$B$1132,$A21,'Serie municipal'!$G$2:$G$1132,"Deforestación",'Serie municipal'!$D$2:$D$1132,C$3)</f>
        <v>273.97000000000003</v>
      </c>
      <c r="D21" s="22">
        <f>SUMIFS('Serie municipal'!$H$2:$H$1132,'Serie municipal'!$B$2:$B$1132,$A21,'Serie municipal'!$G$2:$G$1132,"Deforestación",'Serie municipal'!$D$2:$D$1132,D$3)</f>
        <v>309.31</v>
      </c>
      <c r="E21" s="22">
        <f>SUMIFS('Serie municipal'!$H$2:$H$1132,'Serie municipal'!$B$2:$B$1132,$A21,'Serie municipal'!$G$2:$G$1132,"Deforestación",'Serie municipal'!$D$2:$D$1132,E$3)</f>
        <v>167.73</v>
      </c>
      <c r="F21" s="22">
        <f>SUMIFS('Serie municipal'!$H$2:$H$1132,'Serie municipal'!$B$2:$B$1132,$A21,'Serie municipal'!$G$2:$G$1132,"Deforestación",'Serie municipal'!$D$2:$D$1132,F$3)</f>
        <v>247.29</v>
      </c>
      <c r="G21" s="22">
        <f>SUMIFS('Serie municipal'!$H$2:$H$1132,'Serie municipal'!$B$2:$B$1132,$A21,'Serie municipal'!$G$2:$G$1132,"Deforestación",'Serie municipal'!$D$2:$D$1132,G$3)</f>
        <v>268.19</v>
      </c>
      <c r="H21" s="22">
        <f>SUMIFS('Serie municipal'!$H$2:$H$1132,'Serie municipal'!$B$2:$B$1132,$A21,'Serie municipal'!$G$2:$G$1132,"Deforestación",'Serie municipal'!$D$2:$D$1132,H$3)</f>
        <v>196.14</v>
      </c>
      <c r="I21" s="22">
        <f>SUMIFS('Serie municipal'!$H$2:$H$1132,'Serie municipal'!$B$2:$B$1132,$A21,'Serie municipal'!$G$2:$G$1132,"Deforestación",'Serie municipal'!$D$2:$D$1132,I$3)</f>
        <v>771.55</v>
      </c>
      <c r="J21" s="22">
        <f>SUMIFS('Serie municipal'!$H$2:$H$1132,'Serie municipal'!$B$2:$B$1132,$A21,'Serie municipal'!$G$2:$G$1132,"Deforestación",'Serie municipal'!$D$2:$D$1132,J$3)</f>
        <v>119.1</v>
      </c>
      <c r="K21" s="22">
        <f>SUMIFS('Serie municipal'!$H$2:$H$1132,'Serie municipal'!$B$2:$B$1132,$A21,'Serie municipal'!$G$2:$G$1132,"Deforestación",'Serie municipal'!$D$2:$D$1132,K$3)</f>
        <v>328.1</v>
      </c>
      <c r="L21" s="22">
        <f>SUMIFS('Serie municipal'!$H$2:$H$1132,'Serie municipal'!$B$2:$B$1132,$A21,'Serie municipal'!$G$2:$G$1132,"Deforestación",'Serie municipal'!$D$2:$D$1132,L$3)</f>
        <v>656.33</v>
      </c>
      <c r="M21" s="22">
        <f>SUMIFS('Serie municipal'!$H$2:$H$1132,'Serie municipal'!$B$2:$B$1132,$A21,'Serie municipal'!$G$2:$G$1132,"Deforestación",'Serie municipal'!$D$2:$D$1132,M$3)</f>
        <v>237.82</v>
      </c>
      <c r="N21" s="22">
        <f>SUMIFS('Serie municipal'!$H$2:$H$1132,'Serie municipal'!$B$2:$B$1132,$A21,'Serie municipal'!$G$2:$G$1132,"Deforestación",'Serie municipal'!$D$2:$D$1132,N$3)</f>
        <v>244.43</v>
      </c>
      <c r="O21" s="22">
        <f>SUMIFS('Serie municipal'!$H$2:$H$1132,'Serie municipal'!$B$2:$B$1132,$A21,'Serie municipal'!$G$2:$G$1132,"Deforestación",'Serie municipal'!$D$2:$D$1132,O$3)</f>
        <v>251.04</v>
      </c>
      <c r="P21" s="22">
        <f>SUMIFS('Serie municipal'!$H$2:$H$1132,'Serie municipal'!$B$2:$B$1132,$A21,'Serie municipal'!$G$2:$G$1132,"Deforestación",'Serie municipal'!$D$2:$D$1132,P$3)</f>
        <v>207.36</v>
      </c>
      <c r="Q21" s="22">
        <f>SUMIFS('Serie municipal'!$H$2:$H$1132,'Serie municipal'!$B$2:$B$1132,$A21,'Serie municipal'!$G$2:$G$1132,"Deforestación",'Serie municipal'!$D$2:$D$1132,Q$3)</f>
        <v>262.83999999999997</v>
      </c>
      <c r="R21" s="22">
        <f>SUMIFS('Serie municipal'!$H$2:$H$1132,'Serie municipal'!$B$2:$B$1132,$A21,'Serie municipal'!$G$2:$G$1132,"Deforestación",'Serie municipal'!$D$2:$D$1132,R$3)</f>
        <v>337.03</v>
      </c>
      <c r="S21" s="22">
        <f>SUMIFS('Serie municipal'!$H$2:$H$1132,'Serie municipal'!$B$2:$B$1132,$A21,'Serie municipal'!$G$2:$G$1132,"Deforestación",'Serie municipal'!$D$2:$D$1132,S$3)</f>
        <v>398.75</v>
      </c>
      <c r="T21" s="23">
        <f t="shared" si="0"/>
        <v>5759.44</v>
      </c>
    </row>
    <row r="22" spans="1:20" x14ac:dyDescent="0.25">
      <c r="A22" s="9" t="s">
        <v>87</v>
      </c>
      <c r="B22" s="22">
        <f>SUMIFS('Serie municipal'!$H$2:$H$1132,'Serie municipal'!$B$2:$B$1132,$A22,'Serie municipal'!$G$2:$G$1132,"Deforestación",'Serie municipal'!$D$2:$D$1132,B$3)</f>
        <v>125.38</v>
      </c>
      <c r="C22" s="22">
        <f>SUMIFS('Serie municipal'!$H$2:$H$1132,'Serie municipal'!$B$2:$B$1132,$A22,'Serie municipal'!$G$2:$G$1132,"Deforestación",'Serie municipal'!$D$2:$D$1132,C$3)</f>
        <v>47.14</v>
      </c>
      <c r="D22" s="22">
        <f>SUMIFS('Serie municipal'!$H$2:$H$1132,'Serie municipal'!$B$2:$B$1132,$A22,'Serie municipal'!$G$2:$G$1132,"Deforestación",'Serie municipal'!$D$2:$D$1132,D$3)</f>
        <v>101.31</v>
      </c>
      <c r="E22" s="22">
        <f>SUMIFS('Serie municipal'!$H$2:$H$1132,'Serie municipal'!$B$2:$B$1132,$A22,'Serie municipal'!$G$2:$G$1132,"Deforestación",'Serie municipal'!$D$2:$D$1132,E$3)</f>
        <v>9.27</v>
      </c>
      <c r="F22" s="22">
        <f>SUMIFS('Serie municipal'!$H$2:$H$1132,'Serie municipal'!$B$2:$B$1132,$A22,'Serie municipal'!$G$2:$G$1132,"Deforestación",'Serie municipal'!$D$2:$D$1132,F$3)</f>
        <v>68.739999999999995</v>
      </c>
      <c r="G22" s="22">
        <f>SUMIFS('Serie municipal'!$H$2:$H$1132,'Serie municipal'!$B$2:$B$1132,$A22,'Serie municipal'!$G$2:$G$1132,"Deforestación",'Serie municipal'!$D$2:$D$1132,G$3)</f>
        <v>49.88</v>
      </c>
      <c r="H22" s="22">
        <f>SUMIFS('Serie municipal'!$H$2:$H$1132,'Serie municipal'!$B$2:$B$1132,$A22,'Serie municipal'!$G$2:$G$1132,"Deforestación",'Serie municipal'!$D$2:$D$1132,H$3)</f>
        <v>25.1</v>
      </c>
      <c r="I22" s="22">
        <f>SUMIFS('Serie municipal'!$H$2:$H$1132,'Serie municipal'!$B$2:$B$1132,$A22,'Serie municipal'!$G$2:$G$1132,"Deforestación",'Serie municipal'!$D$2:$D$1132,I$3)</f>
        <v>75.510000000000005</v>
      </c>
      <c r="J22" s="22">
        <f>SUMIFS('Serie municipal'!$H$2:$H$1132,'Serie municipal'!$B$2:$B$1132,$A22,'Serie municipal'!$G$2:$G$1132,"Deforestación",'Serie municipal'!$D$2:$D$1132,J$3)</f>
        <v>14.86</v>
      </c>
      <c r="K22" s="22">
        <f>SUMIFS('Serie municipal'!$H$2:$H$1132,'Serie municipal'!$B$2:$B$1132,$A22,'Serie municipal'!$G$2:$G$1132,"Deforestación",'Serie municipal'!$D$2:$D$1132,K$3)</f>
        <v>55.96</v>
      </c>
      <c r="L22" s="22">
        <f>SUMIFS('Serie municipal'!$H$2:$H$1132,'Serie municipal'!$B$2:$B$1132,$A22,'Serie municipal'!$G$2:$G$1132,"Deforestación",'Serie municipal'!$D$2:$D$1132,L$3)</f>
        <v>110.78</v>
      </c>
      <c r="M22" s="22">
        <f>SUMIFS('Serie municipal'!$H$2:$H$1132,'Serie municipal'!$B$2:$B$1132,$A22,'Serie municipal'!$G$2:$G$1132,"Deforestación",'Serie municipal'!$D$2:$D$1132,M$3)</f>
        <v>67.819999999999993</v>
      </c>
      <c r="N22" s="22">
        <f>SUMIFS('Serie municipal'!$H$2:$H$1132,'Serie municipal'!$B$2:$B$1132,$A22,'Serie municipal'!$G$2:$G$1132,"Deforestación",'Serie municipal'!$D$2:$D$1132,N$3)</f>
        <v>78.13</v>
      </c>
      <c r="O22" s="22">
        <f>SUMIFS('Serie municipal'!$H$2:$H$1132,'Serie municipal'!$B$2:$B$1132,$A22,'Serie municipal'!$G$2:$G$1132,"Deforestación",'Serie municipal'!$D$2:$D$1132,O$3)</f>
        <v>88.44</v>
      </c>
      <c r="P22" s="22">
        <f>SUMIFS('Serie municipal'!$H$2:$H$1132,'Serie municipal'!$B$2:$B$1132,$A22,'Serie municipal'!$G$2:$G$1132,"Deforestación",'Serie municipal'!$D$2:$D$1132,P$3)</f>
        <v>99.23</v>
      </c>
      <c r="Q22" s="22">
        <f>SUMIFS('Serie municipal'!$H$2:$H$1132,'Serie municipal'!$B$2:$B$1132,$A22,'Serie municipal'!$G$2:$G$1132,"Deforestación",'Serie municipal'!$D$2:$D$1132,Q$3)</f>
        <v>105.2</v>
      </c>
      <c r="R22" s="22">
        <f>SUMIFS('Serie municipal'!$H$2:$H$1132,'Serie municipal'!$B$2:$B$1132,$A22,'Serie municipal'!$G$2:$G$1132,"Deforestación",'Serie municipal'!$D$2:$D$1132,R$3)</f>
        <v>33.06</v>
      </c>
      <c r="S22" s="22">
        <f>SUMIFS('Serie municipal'!$H$2:$H$1132,'Serie municipal'!$B$2:$B$1132,$A22,'Serie municipal'!$G$2:$G$1132,"Deforestación",'Serie municipal'!$D$2:$D$1132,S$3)</f>
        <v>12.99</v>
      </c>
      <c r="T22" s="23">
        <f t="shared" si="0"/>
        <v>1168.8</v>
      </c>
    </row>
    <row r="23" spans="1:20" x14ac:dyDescent="0.25">
      <c r="A23" s="24" t="s">
        <v>126</v>
      </c>
      <c r="B23" s="25">
        <f t="shared" ref="B23:T23" si="1">SUM(B4:B22)</f>
        <v>1590.3000000000002</v>
      </c>
      <c r="C23" s="25">
        <f t="shared" si="1"/>
        <v>3717.9100000000003</v>
      </c>
      <c r="D23" s="25">
        <f t="shared" si="1"/>
        <v>3021.65</v>
      </c>
      <c r="E23" s="25">
        <f t="shared" si="1"/>
        <v>2539.5099999999998</v>
      </c>
      <c r="F23" s="25">
        <f t="shared" si="1"/>
        <v>2921.3599999999997</v>
      </c>
      <c r="G23" s="25">
        <f t="shared" si="1"/>
        <v>3134.9000000000005</v>
      </c>
      <c r="H23" s="25">
        <f t="shared" si="1"/>
        <v>2273.9399999999996</v>
      </c>
      <c r="I23" s="25">
        <f t="shared" si="1"/>
        <v>3576.99</v>
      </c>
      <c r="J23" s="25">
        <f t="shared" si="1"/>
        <v>2887.4900000000002</v>
      </c>
      <c r="K23" s="25">
        <f t="shared" si="1"/>
        <v>5771.04</v>
      </c>
      <c r="L23" s="25">
        <f t="shared" si="1"/>
        <v>3938.3900000000003</v>
      </c>
      <c r="M23" s="25">
        <f t="shared" si="1"/>
        <v>1765.1599999999999</v>
      </c>
      <c r="N23" s="25">
        <f t="shared" si="1"/>
        <v>1800.17</v>
      </c>
      <c r="O23" s="25">
        <f t="shared" si="1"/>
        <v>1737.29</v>
      </c>
      <c r="P23" s="25">
        <f t="shared" si="1"/>
        <v>1090.76</v>
      </c>
      <c r="Q23" s="25">
        <f t="shared" si="1"/>
        <v>2325.6299999999997</v>
      </c>
      <c r="R23" s="25">
        <f t="shared" si="1"/>
        <v>1156.2199999999998</v>
      </c>
      <c r="S23" s="25">
        <f t="shared" si="1"/>
        <v>1596.81</v>
      </c>
      <c r="T23" s="25">
        <f t="shared" si="1"/>
        <v>46845.520000000004</v>
      </c>
    </row>
    <row r="25" spans="1:20" x14ac:dyDescent="0.25">
      <c r="A25" s="17" t="s">
        <v>127</v>
      </c>
    </row>
  </sheetData>
  <conditionalFormatting sqref="B4:S22">
    <cfRule type="colorScale" priority="1">
      <colorScale>
        <cfvo type="num" val="0"/>
        <cfvo type="percentile" val="70"/>
        <cfvo type="max"/>
        <color rgb="FFFFFFFF"/>
        <color rgb="FFFDBA74"/>
        <color rgb="FFB91C1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baseColWidth="10" defaultColWidth="9.140625" defaultRowHeight="15" x14ac:dyDescent="0.25"/>
  <cols>
    <col min="1" max="1" width="12" customWidth="1"/>
    <col min="2" max="3" width="10" customWidth="1"/>
    <col min="4" max="4" width="8" customWidth="1"/>
    <col min="5" max="5" width="18" customWidth="1"/>
    <col min="6" max="6" width="12" customWidth="1"/>
    <col min="7" max="7" width="10" customWidth="1"/>
    <col min="8" max="8" width="12" customWidth="1"/>
  </cols>
  <sheetData>
    <row r="1" spans="1:8" x14ac:dyDescent="0.25">
      <c r="A1" s="7" t="s">
        <v>30</v>
      </c>
      <c r="B1" s="7" t="s">
        <v>31</v>
      </c>
      <c r="C1" s="7" t="s">
        <v>32</v>
      </c>
      <c r="D1" s="7" t="s">
        <v>128</v>
      </c>
      <c r="E1" s="7" t="s">
        <v>123</v>
      </c>
      <c r="F1" s="7" t="s">
        <v>35</v>
      </c>
      <c r="G1" s="7" t="s">
        <v>37</v>
      </c>
      <c r="H1" s="7" t="s">
        <v>129</v>
      </c>
    </row>
    <row r="2" spans="1:8" x14ac:dyDescent="0.25">
      <c r="A2" s="8" t="s">
        <v>41</v>
      </c>
      <c r="B2" s="10">
        <v>2000</v>
      </c>
      <c r="C2" s="10">
        <v>2002</v>
      </c>
      <c r="D2" s="10">
        <f t="shared" ref="D2:D19" si="0">C2-B2</f>
        <v>2</v>
      </c>
      <c r="E2" s="22">
        <f>SUMIFS('Serie municipal'!$H$2:$H$1132,'Serie municipal'!$D$2:$D$1132,A2,'Serie municipal'!$G$2:$G$1132,"Deforestación")</f>
        <v>1590.3000000000002</v>
      </c>
      <c r="F2" s="22">
        <f t="shared" ref="F2:F19" si="1">E2/D2</f>
        <v>795.15000000000009</v>
      </c>
      <c r="G2" s="9" t="s">
        <v>44</v>
      </c>
      <c r="H2" s="9" t="str">
        <f t="shared" ref="H2:H19" si="2">A2&amp;IF(G2="Sí","*","")</f>
        <v>2000-2002</v>
      </c>
    </row>
    <row r="3" spans="1:8" x14ac:dyDescent="0.25">
      <c r="A3" s="8" t="s">
        <v>88</v>
      </c>
      <c r="B3" s="10">
        <v>2002</v>
      </c>
      <c r="C3" s="10">
        <v>2004</v>
      </c>
      <c r="D3" s="10">
        <f t="shared" si="0"/>
        <v>2</v>
      </c>
      <c r="E3" s="22">
        <f>SUMIFS('Serie municipal'!$H$2:$H$1132,'Serie municipal'!$D$2:$D$1132,A3,'Serie municipal'!$G$2:$G$1132,"Deforestación")</f>
        <v>3717.9100000000003</v>
      </c>
      <c r="F3" s="22">
        <f t="shared" si="1"/>
        <v>1858.9550000000002</v>
      </c>
      <c r="G3" s="9" t="s">
        <v>44</v>
      </c>
      <c r="H3" s="9" t="str">
        <f t="shared" si="2"/>
        <v>2002-2004</v>
      </c>
    </row>
    <row r="4" spans="1:8" x14ac:dyDescent="0.25">
      <c r="A4" s="8" t="s">
        <v>90</v>
      </c>
      <c r="B4" s="10">
        <v>2004</v>
      </c>
      <c r="C4" s="10">
        <v>2006</v>
      </c>
      <c r="D4" s="10">
        <f t="shared" si="0"/>
        <v>2</v>
      </c>
      <c r="E4" s="22">
        <f>SUMIFS('Serie municipal'!$H$2:$H$1132,'Serie municipal'!$D$2:$D$1132,A4,'Serie municipal'!$G$2:$G$1132,"Deforestación")</f>
        <v>3021.65</v>
      </c>
      <c r="F4" s="22">
        <f t="shared" si="1"/>
        <v>1510.825</v>
      </c>
      <c r="G4" s="9" t="s">
        <v>44</v>
      </c>
      <c r="H4" s="9" t="str">
        <f t="shared" si="2"/>
        <v>2004-2006</v>
      </c>
    </row>
    <row r="5" spans="1:8" x14ac:dyDescent="0.25">
      <c r="A5" s="8" t="s">
        <v>91</v>
      </c>
      <c r="B5" s="10">
        <v>2006</v>
      </c>
      <c r="C5" s="10">
        <v>2008</v>
      </c>
      <c r="D5" s="10">
        <f t="shared" si="0"/>
        <v>2</v>
      </c>
      <c r="E5" s="22">
        <f>SUMIFS('Serie municipal'!$H$2:$H$1132,'Serie municipal'!$D$2:$D$1132,A5,'Serie municipal'!$G$2:$G$1132,"Deforestación")</f>
        <v>2539.5099999999998</v>
      </c>
      <c r="F5" s="22">
        <f t="shared" si="1"/>
        <v>1269.7549999999999</v>
      </c>
      <c r="G5" s="9" t="s">
        <v>44</v>
      </c>
      <c r="H5" s="9" t="str">
        <f t="shared" si="2"/>
        <v>2006-2008</v>
      </c>
    </row>
    <row r="6" spans="1:8" x14ac:dyDescent="0.25">
      <c r="A6" s="8" t="s">
        <v>92</v>
      </c>
      <c r="B6" s="10">
        <v>2008</v>
      </c>
      <c r="C6" s="10">
        <v>2010</v>
      </c>
      <c r="D6" s="10">
        <f t="shared" si="0"/>
        <v>2</v>
      </c>
      <c r="E6" s="22">
        <f>SUMIFS('Serie municipal'!$H$2:$H$1132,'Serie municipal'!$D$2:$D$1132,A6,'Serie municipal'!$G$2:$G$1132,"Deforestación")</f>
        <v>2921.3599999999997</v>
      </c>
      <c r="F6" s="22">
        <f t="shared" si="1"/>
        <v>1460.6799999999998</v>
      </c>
      <c r="G6" s="9" t="s">
        <v>44</v>
      </c>
      <c r="H6" s="9" t="str">
        <f t="shared" si="2"/>
        <v>2008-2010</v>
      </c>
    </row>
    <row r="7" spans="1:8" x14ac:dyDescent="0.25">
      <c r="A7" s="12" t="s">
        <v>93</v>
      </c>
      <c r="B7" s="14">
        <v>2010</v>
      </c>
      <c r="C7" s="14">
        <v>2012</v>
      </c>
      <c r="D7" s="14">
        <f t="shared" si="0"/>
        <v>2</v>
      </c>
      <c r="E7" s="26">
        <f>SUMIFS('Serie municipal'!$H$2:$H$1132,'Serie municipal'!$D$2:$D$1132,A7,'Serie municipal'!$G$2:$G$1132,"Deforestación")</f>
        <v>3134.9000000000005</v>
      </c>
      <c r="F7" s="26">
        <f t="shared" si="1"/>
        <v>1567.4500000000003</v>
      </c>
      <c r="G7" s="13" t="s">
        <v>95</v>
      </c>
      <c r="H7" s="13" t="str">
        <f t="shared" si="2"/>
        <v>2010-2012*</v>
      </c>
    </row>
    <row r="8" spans="1:8" x14ac:dyDescent="0.25">
      <c r="A8" s="8" t="s">
        <v>96</v>
      </c>
      <c r="B8" s="10">
        <v>2012</v>
      </c>
      <c r="C8" s="10">
        <v>2013</v>
      </c>
      <c r="D8" s="10">
        <f t="shared" si="0"/>
        <v>1</v>
      </c>
      <c r="E8" s="22">
        <f>SUMIFS('Serie municipal'!$H$2:$H$1132,'Serie municipal'!$D$2:$D$1132,A8,'Serie municipal'!$G$2:$G$1132,"Deforestación")</f>
        <v>2273.9399999999996</v>
      </c>
      <c r="F8" s="22">
        <f t="shared" si="1"/>
        <v>2273.9399999999996</v>
      </c>
      <c r="G8" s="9" t="s">
        <v>44</v>
      </c>
      <c r="H8" s="9" t="str">
        <f t="shared" si="2"/>
        <v>2012-2013</v>
      </c>
    </row>
    <row r="9" spans="1:8" x14ac:dyDescent="0.25">
      <c r="A9" s="8" t="s">
        <v>98</v>
      </c>
      <c r="B9" s="10">
        <v>2013</v>
      </c>
      <c r="C9" s="10">
        <v>2014</v>
      </c>
      <c r="D9" s="10">
        <f t="shared" si="0"/>
        <v>1</v>
      </c>
      <c r="E9" s="22">
        <f>SUMIFS('Serie municipal'!$H$2:$H$1132,'Serie municipal'!$D$2:$D$1132,A9,'Serie municipal'!$G$2:$G$1132,"Deforestación")</f>
        <v>3576.99</v>
      </c>
      <c r="F9" s="22">
        <f t="shared" si="1"/>
        <v>3576.99</v>
      </c>
      <c r="G9" s="9" t="s">
        <v>44</v>
      </c>
      <c r="H9" s="9" t="str">
        <f t="shared" si="2"/>
        <v>2013-2014</v>
      </c>
    </row>
    <row r="10" spans="1:8" x14ac:dyDescent="0.25">
      <c r="A10" s="8" t="s">
        <v>99</v>
      </c>
      <c r="B10" s="10">
        <v>2014</v>
      </c>
      <c r="C10" s="10">
        <v>2015</v>
      </c>
      <c r="D10" s="10">
        <f t="shared" si="0"/>
        <v>1</v>
      </c>
      <c r="E10" s="22">
        <f>SUMIFS('Serie municipal'!$H$2:$H$1132,'Serie municipal'!$D$2:$D$1132,A10,'Serie municipal'!$G$2:$G$1132,"Deforestación")</f>
        <v>2887.4900000000002</v>
      </c>
      <c r="F10" s="22">
        <f t="shared" si="1"/>
        <v>2887.4900000000002</v>
      </c>
      <c r="G10" s="9" t="s">
        <v>44</v>
      </c>
      <c r="H10" s="9" t="str">
        <f t="shared" si="2"/>
        <v>2014-2015</v>
      </c>
    </row>
    <row r="11" spans="1:8" x14ac:dyDescent="0.25">
      <c r="A11" s="8" t="s">
        <v>100</v>
      </c>
      <c r="B11" s="10">
        <v>2015</v>
      </c>
      <c r="C11" s="10">
        <v>2016</v>
      </c>
      <c r="D11" s="10">
        <f t="shared" si="0"/>
        <v>1</v>
      </c>
      <c r="E11" s="22">
        <f>SUMIFS('Serie municipal'!$H$2:$H$1132,'Serie municipal'!$D$2:$D$1132,A11,'Serie municipal'!$G$2:$G$1132,"Deforestación")</f>
        <v>5771.04</v>
      </c>
      <c r="F11" s="22">
        <f t="shared" si="1"/>
        <v>5771.04</v>
      </c>
      <c r="G11" s="9" t="s">
        <v>44</v>
      </c>
      <c r="H11" s="9" t="str">
        <f t="shared" si="2"/>
        <v>2015-2016</v>
      </c>
    </row>
    <row r="12" spans="1:8" x14ac:dyDescent="0.25">
      <c r="A12" s="8" t="s">
        <v>102</v>
      </c>
      <c r="B12" s="10">
        <v>2016</v>
      </c>
      <c r="C12" s="10">
        <v>2017</v>
      </c>
      <c r="D12" s="10">
        <f t="shared" si="0"/>
        <v>1</v>
      </c>
      <c r="E12" s="22">
        <f>SUMIFS('Serie municipal'!$H$2:$H$1132,'Serie municipal'!$D$2:$D$1132,A12,'Serie municipal'!$G$2:$G$1132,"Deforestación")</f>
        <v>3938.3900000000003</v>
      </c>
      <c r="F12" s="22">
        <f t="shared" si="1"/>
        <v>3938.3900000000003</v>
      </c>
      <c r="G12" s="9" t="s">
        <v>44</v>
      </c>
      <c r="H12" s="9" t="str">
        <f t="shared" si="2"/>
        <v>2016-2017</v>
      </c>
    </row>
    <row r="13" spans="1:8" x14ac:dyDescent="0.25">
      <c r="A13" s="8" t="s">
        <v>103</v>
      </c>
      <c r="B13" s="10">
        <v>2017</v>
      </c>
      <c r="C13" s="10">
        <v>2018</v>
      </c>
      <c r="D13" s="10">
        <f t="shared" si="0"/>
        <v>1</v>
      </c>
      <c r="E13" s="22">
        <f>SUMIFS('Serie municipal'!$H$2:$H$1132,'Serie municipal'!$D$2:$D$1132,A13,'Serie municipal'!$G$2:$G$1132,"Deforestación")</f>
        <v>1765.1599999999999</v>
      </c>
      <c r="F13" s="22">
        <f t="shared" si="1"/>
        <v>1765.1599999999999</v>
      </c>
      <c r="G13" s="9" t="s">
        <v>44</v>
      </c>
      <c r="H13" s="9" t="str">
        <f t="shared" si="2"/>
        <v>2017-2018</v>
      </c>
    </row>
    <row r="14" spans="1:8" x14ac:dyDescent="0.25">
      <c r="A14" s="12" t="s">
        <v>104</v>
      </c>
      <c r="B14" s="14">
        <v>2018</v>
      </c>
      <c r="C14" s="14">
        <v>2019</v>
      </c>
      <c r="D14" s="14">
        <f t="shared" si="0"/>
        <v>1</v>
      </c>
      <c r="E14" s="26">
        <f>SUMIFS('Serie municipal'!$H$2:$H$1132,'Serie municipal'!$D$2:$D$1132,A14,'Serie municipal'!$G$2:$G$1132,"Deforestación")</f>
        <v>1800.17</v>
      </c>
      <c r="F14" s="26">
        <f t="shared" si="1"/>
        <v>1800.17</v>
      </c>
      <c r="G14" s="13" t="s">
        <v>95</v>
      </c>
      <c r="H14" s="13" t="str">
        <f t="shared" si="2"/>
        <v>2018-2019*</v>
      </c>
    </row>
    <row r="15" spans="1:8" x14ac:dyDescent="0.25">
      <c r="A15" s="8" t="s">
        <v>106</v>
      </c>
      <c r="B15" s="10">
        <v>2019</v>
      </c>
      <c r="C15" s="10">
        <v>2020</v>
      </c>
      <c r="D15" s="10">
        <f t="shared" si="0"/>
        <v>1</v>
      </c>
      <c r="E15" s="22">
        <f>SUMIFS('Serie municipal'!$H$2:$H$1132,'Serie municipal'!$D$2:$D$1132,A15,'Serie municipal'!$G$2:$G$1132,"Deforestación")</f>
        <v>1737.29</v>
      </c>
      <c r="F15" s="22">
        <f t="shared" si="1"/>
        <v>1737.29</v>
      </c>
      <c r="G15" s="9" t="s">
        <v>44</v>
      </c>
      <c r="H15" s="9" t="str">
        <f t="shared" si="2"/>
        <v>2019-2020</v>
      </c>
    </row>
    <row r="16" spans="1:8" x14ac:dyDescent="0.25">
      <c r="A16" s="8" t="s">
        <v>107</v>
      </c>
      <c r="B16" s="10">
        <v>2020</v>
      </c>
      <c r="C16" s="10">
        <v>2021</v>
      </c>
      <c r="D16" s="10">
        <f t="shared" si="0"/>
        <v>1</v>
      </c>
      <c r="E16" s="22">
        <f>SUMIFS('Serie municipal'!$H$2:$H$1132,'Serie municipal'!$D$2:$D$1132,A16,'Serie municipal'!$G$2:$G$1132,"Deforestación")</f>
        <v>1090.76</v>
      </c>
      <c r="F16" s="22">
        <f t="shared" si="1"/>
        <v>1090.76</v>
      </c>
      <c r="G16" s="9" t="s">
        <v>44</v>
      </c>
      <c r="H16" s="9" t="str">
        <f t="shared" si="2"/>
        <v>2020-2021</v>
      </c>
    </row>
    <row r="17" spans="1:8" x14ac:dyDescent="0.25">
      <c r="A17" s="8" t="s">
        <v>108</v>
      </c>
      <c r="B17" s="10">
        <v>2021</v>
      </c>
      <c r="C17" s="10">
        <v>2022</v>
      </c>
      <c r="D17" s="10">
        <f t="shared" si="0"/>
        <v>1</v>
      </c>
      <c r="E17" s="22">
        <f>SUMIFS('Serie municipal'!$H$2:$H$1132,'Serie municipal'!$D$2:$D$1132,A17,'Serie municipal'!$G$2:$G$1132,"Deforestación")</f>
        <v>2325.6299999999997</v>
      </c>
      <c r="F17" s="22">
        <f t="shared" si="1"/>
        <v>2325.6299999999997</v>
      </c>
      <c r="G17" s="9" t="s">
        <v>44</v>
      </c>
      <c r="H17" s="9" t="str">
        <f t="shared" si="2"/>
        <v>2021-2022</v>
      </c>
    </row>
    <row r="18" spans="1:8" x14ac:dyDescent="0.25">
      <c r="A18" s="8" t="s">
        <v>109</v>
      </c>
      <c r="B18" s="10">
        <v>2022</v>
      </c>
      <c r="C18" s="10">
        <v>2023</v>
      </c>
      <c r="D18" s="10">
        <f t="shared" si="0"/>
        <v>1</v>
      </c>
      <c r="E18" s="22">
        <f>SUMIFS('Serie municipal'!$H$2:$H$1132,'Serie municipal'!$D$2:$D$1132,A18,'Serie municipal'!$G$2:$G$1132,"Deforestación")</f>
        <v>1156.2199999999998</v>
      </c>
      <c r="F18" s="22">
        <f t="shared" si="1"/>
        <v>1156.2199999999998</v>
      </c>
      <c r="G18" s="9" t="s">
        <v>44</v>
      </c>
      <c r="H18" s="9" t="str">
        <f t="shared" si="2"/>
        <v>2022-2023</v>
      </c>
    </row>
    <row r="19" spans="1:8" x14ac:dyDescent="0.25">
      <c r="A19" s="12" t="s">
        <v>110</v>
      </c>
      <c r="B19" s="14">
        <v>2023</v>
      </c>
      <c r="C19" s="14">
        <v>2024</v>
      </c>
      <c r="D19" s="14">
        <f t="shared" si="0"/>
        <v>1</v>
      </c>
      <c r="E19" s="26">
        <f>SUMIFS('Serie municipal'!$H$2:$H$1132,'Serie municipal'!$D$2:$D$1132,A19,'Serie municipal'!$G$2:$G$1132,"Deforestación")</f>
        <v>1596.81</v>
      </c>
      <c r="F19" s="26">
        <f t="shared" si="1"/>
        <v>1596.81</v>
      </c>
      <c r="G19" s="13" t="s">
        <v>95</v>
      </c>
      <c r="H19" s="13" t="str">
        <f t="shared" si="2"/>
        <v>2023-2024*</v>
      </c>
    </row>
    <row r="20" spans="1:8" x14ac:dyDescent="0.25">
      <c r="D20" s="24" t="s">
        <v>126</v>
      </c>
      <c r="E20" s="25">
        <f>SUM(E2:E19)</f>
        <v>46845.52</v>
      </c>
    </row>
    <row r="21" spans="1:8" x14ac:dyDescent="0.25">
      <c r="A21" s="17" t="s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</sheetPr>
  <dimension ref="A1:K22"/>
  <sheetViews>
    <sheetView workbookViewId="0"/>
  </sheetViews>
  <sheetFormatPr baseColWidth="10" defaultColWidth="9.140625" defaultRowHeight="15" x14ac:dyDescent="0.25"/>
  <cols>
    <col min="1" max="1" width="22" customWidth="1"/>
    <col min="2" max="2" width="12" customWidth="1"/>
    <col min="3" max="3" width="20" customWidth="1"/>
    <col min="4" max="4" width="12" customWidth="1"/>
    <col min="5" max="5" width="3" customWidth="1"/>
    <col min="6" max="6" width="6" customWidth="1"/>
    <col min="7" max="7" width="22" customWidth="1"/>
    <col min="8" max="8" width="14" customWidth="1"/>
    <col min="10" max="11" width="14" customWidth="1"/>
  </cols>
  <sheetData>
    <row r="1" spans="1:11" ht="18.75" x14ac:dyDescent="0.3">
      <c r="A1" s="5" t="s">
        <v>131</v>
      </c>
    </row>
    <row r="3" spans="1:11" x14ac:dyDescent="0.25">
      <c r="A3" s="7" t="s">
        <v>28</v>
      </c>
      <c r="B3" s="7" t="s">
        <v>29</v>
      </c>
      <c r="C3" s="7" t="s">
        <v>121</v>
      </c>
      <c r="D3" s="7" t="s">
        <v>132</v>
      </c>
      <c r="E3" s="7"/>
      <c r="F3" s="7" t="s">
        <v>133</v>
      </c>
      <c r="G3" s="7" t="s">
        <v>134</v>
      </c>
      <c r="H3" s="7" t="s">
        <v>135</v>
      </c>
    </row>
    <row r="4" spans="1:11" x14ac:dyDescent="0.25">
      <c r="A4" t="s">
        <v>39</v>
      </c>
      <c r="B4" t="s">
        <v>40</v>
      </c>
      <c r="C4" s="27">
        <f>SUMIFS('Serie municipal'!$H$2:$H$1132,'Serie municipal'!$B$2:$B$1132,A4,'Serie municipal'!$G$2:$G$1132,"Deforestación")</f>
        <v>311.53999999999996</v>
      </c>
      <c r="D4" s="27">
        <f t="shared" ref="D4:D22" si="0">C4/24</f>
        <v>12.980833333333331</v>
      </c>
      <c r="F4">
        <v>1</v>
      </c>
      <c r="G4" t="str">
        <f t="shared" ref="G4:G13" si="1">INDEX($A$4:$A$22,MATCH(H4,$C$4:$C$22,0))</f>
        <v>Turbo</v>
      </c>
      <c r="H4" s="28">
        <f t="shared" ref="H4:H13" si="2">LARGE($C$4:$C$22,F4)</f>
        <v>13308.939999999999</v>
      </c>
    </row>
    <row r="5" spans="1:11" x14ac:dyDescent="0.25">
      <c r="A5" t="s">
        <v>48</v>
      </c>
      <c r="B5" t="s">
        <v>49</v>
      </c>
      <c r="C5" s="27">
        <f>SUMIFS('Serie municipal'!$H$2:$H$1132,'Serie municipal'!$B$2:$B$1132,A5,'Serie municipal'!$G$2:$G$1132,"Deforestación")</f>
        <v>2271.6399999999994</v>
      </c>
      <c r="D5" s="27">
        <f t="shared" si="0"/>
        <v>94.651666666666642</v>
      </c>
      <c r="F5">
        <v>2</v>
      </c>
      <c r="G5" t="str">
        <f t="shared" si="1"/>
        <v>Urrao</v>
      </c>
      <c r="H5" s="28">
        <f t="shared" si="2"/>
        <v>5759.44</v>
      </c>
    </row>
    <row r="6" spans="1:11" x14ac:dyDescent="0.25">
      <c r="A6" t="s">
        <v>52</v>
      </c>
      <c r="B6" t="s">
        <v>53</v>
      </c>
      <c r="C6" s="27">
        <f>SUMIFS('Serie municipal'!$H$2:$H$1132,'Serie municipal'!$B$2:$B$1132,A6,'Serie municipal'!$G$2:$G$1132,"Deforestación")</f>
        <v>537.14</v>
      </c>
      <c r="D6" s="27">
        <f t="shared" si="0"/>
        <v>22.380833333333332</v>
      </c>
      <c r="F6">
        <v>3</v>
      </c>
      <c r="G6" t="str">
        <f t="shared" si="1"/>
        <v>Dabeiba</v>
      </c>
      <c r="H6" s="28">
        <f t="shared" si="2"/>
        <v>5003.33</v>
      </c>
    </row>
    <row r="7" spans="1:11" x14ac:dyDescent="0.25">
      <c r="A7" t="s">
        <v>55</v>
      </c>
      <c r="B7" t="s">
        <v>49</v>
      </c>
      <c r="C7" s="27">
        <f>SUMIFS('Serie municipal'!$H$2:$H$1132,'Serie municipal'!$B$2:$B$1132,A7,'Serie municipal'!$G$2:$G$1132,"Deforestación")</f>
        <v>2026.08</v>
      </c>
      <c r="D7" s="27">
        <f t="shared" si="0"/>
        <v>84.42</v>
      </c>
      <c r="F7">
        <v>4</v>
      </c>
      <c r="G7" t="str">
        <f t="shared" si="1"/>
        <v>Mutatá</v>
      </c>
      <c r="H7" s="28">
        <f t="shared" si="2"/>
        <v>4720.08</v>
      </c>
    </row>
    <row r="8" spans="1:11" x14ac:dyDescent="0.25">
      <c r="A8" t="s">
        <v>57</v>
      </c>
      <c r="B8" t="s">
        <v>40</v>
      </c>
      <c r="C8" s="27">
        <f>SUMIFS('Serie municipal'!$H$2:$H$1132,'Serie municipal'!$B$2:$B$1132,A8,'Serie municipal'!$G$2:$G$1132,"Deforestación")</f>
        <v>768.14</v>
      </c>
      <c r="D8" s="27">
        <f t="shared" si="0"/>
        <v>32.005833333333335</v>
      </c>
      <c r="F8">
        <v>5</v>
      </c>
      <c r="G8" t="str">
        <f t="shared" si="1"/>
        <v>Frontino</v>
      </c>
      <c r="H8" s="28">
        <f t="shared" si="2"/>
        <v>3058.7000000000003</v>
      </c>
    </row>
    <row r="9" spans="1:11" x14ac:dyDescent="0.25">
      <c r="A9" t="s">
        <v>59</v>
      </c>
      <c r="B9" t="s">
        <v>49</v>
      </c>
      <c r="C9" s="27">
        <f>SUMIFS('Serie municipal'!$H$2:$H$1132,'Serie municipal'!$B$2:$B$1132,A9,'Serie municipal'!$G$2:$G$1132,"Deforestación")</f>
        <v>2110.84</v>
      </c>
      <c r="D9" s="27">
        <f t="shared" si="0"/>
        <v>87.951666666666668</v>
      </c>
      <c r="F9">
        <v>6</v>
      </c>
      <c r="G9" t="str">
        <f t="shared" si="1"/>
        <v>Necoclí</v>
      </c>
      <c r="H9" s="28">
        <f t="shared" si="2"/>
        <v>2350.7599999999989</v>
      </c>
    </row>
    <row r="10" spans="1:11" x14ac:dyDescent="0.25">
      <c r="A10" t="s">
        <v>61</v>
      </c>
      <c r="B10" t="s">
        <v>40</v>
      </c>
      <c r="C10" s="27">
        <f>SUMIFS('Serie municipal'!$H$2:$H$1132,'Serie municipal'!$B$2:$B$1132,A10,'Serie municipal'!$G$2:$G$1132,"Deforestación")</f>
        <v>5003.33</v>
      </c>
      <c r="D10" s="27">
        <f t="shared" si="0"/>
        <v>208.47208333333333</v>
      </c>
      <c r="F10">
        <v>7</v>
      </c>
      <c r="G10" t="str">
        <f t="shared" si="1"/>
        <v>Apartadó</v>
      </c>
      <c r="H10" s="28">
        <f t="shared" si="2"/>
        <v>2271.6399999999994</v>
      </c>
    </row>
    <row r="11" spans="1:11" x14ac:dyDescent="0.25">
      <c r="A11" t="s">
        <v>63</v>
      </c>
      <c r="B11" t="s">
        <v>40</v>
      </c>
      <c r="C11" s="27">
        <f>SUMIFS('Serie municipal'!$H$2:$H$1132,'Serie municipal'!$B$2:$B$1132,A11,'Serie municipal'!$G$2:$G$1132,"Deforestación")</f>
        <v>3058.7000000000003</v>
      </c>
      <c r="D11" s="27">
        <f t="shared" si="0"/>
        <v>127.44583333333334</v>
      </c>
      <c r="F11">
        <v>8</v>
      </c>
      <c r="G11" t="str">
        <f t="shared" si="1"/>
        <v>Murindó</v>
      </c>
      <c r="H11" s="28">
        <f t="shared" si="2"/>
        <v>2200.5499999999997</v>
      </c>
    </row>
    <row r="12" spans="1:11" x14ac:dyDescent="0.25">
      <c r="A12" t="s">
        <v>66</v>
      </c>
      <c r="B12" t="s">
        <v>40</v>
      </c>
      <c r="C12" s="27">
        <f>SUMIFS('Serie municipal'!$H$2:$H$1132,'Serie municipal'!$B$2:$B$1132,A12,'Serie municipal'!$G$2:$G$1132,"Deforestación")</f>
        <v>84.98</v>
      </c>
      <c r="D12" s="27">
        <f t="shared" si="0"/>
        <v>3.5408333333333335</v>
      </c>
      <c r="F12">
        <v>9</v>
      </c>
      <c r="G12" t="str">
        <f t="shared" si="1"/>
        <v>Chigorodó</v>
      </c>
      <c r="H12" s="28">
        <f t="shared" si="2"/>
        <v>2110.84</v>
      </c>
    </row>
    <row r="13" spans="1:11" x14ac:dyDescent="0.25">
      <c r="A13" t="s">
        <v>68</v>
      </c>
      <c r="B13" t="s">
        <v>69</v>
      </c>
      <c r="C13" s="27">
        <f>SUMIFS('Serie municipal'!$H$2:$H$1132,'Serie municipal'!$B$2:$B$1132,A13,'Serie municipal'!$G$2:$G$1132,"Deforestación")</f>
        <v>2200.5499999999997</v>
      </c>
      <c r="D13" s="27">
        <f t="shared" si="0"/>
        <v>91.689583333333317</v>
      </c>
      <c r="F13">
        <v>10</v>
      </c>
      <c r="G13" t="str">
        <f t="shared" si="1"/>
        <v>Carepa</v>
      </c>
      <c r="H13" s="28">
        <f t="shared" si="2"/>
        <v>2026.08</v>
      </c>
    </row>
    <row r="14" spans="1:11" x14ac:dyDescent="0.25">
      <c r="A14" t="s">
        <v>71</v>
      </c>
      <c r="B14" t="s">
        <v>49</v>
      </c>
      <c r="C14" s="27">
        <f>SUMIFS('Serie municipal'!$H$2:$H$1132,'Serie municipal'!$B$2:$B$1132,A14,'Serie municipal'!$G$2:$G$1132,"Deforestación")</f>
        <v>4720.08</v>
      </c>
      <c r="D14" s="27">
        <f t="shared" si="0"/>
        <v>196.67</v>
      </c>
    </row>
    <row r="15" spans="1:11" x14ac:dyDescent="0.25">
      <c r="A15" t="s">
        <v>73</v>
      </c>
      <c r="B15" t="s">
        <v>53</v>
      </c>
      <c r="C15" s="27">
        <f>SUMIFS('Serie municipal'!$H$2:$H$1132,'Serie municipal'!$B$2:$B$1132,A15,'Serie municipal'!$G$2:$G$1132,"Deforestación")</f>
        <v>2350.7599999999989</v>
      </c>
      <c r="D15" s="27">
        <f t="shared" si="0"/>
        <v>97.948333333333281</v>
      </c>
    </row>
    <row r="16" spans="1:11" x14ac:dyDescent="0.25">
      <c r="A16" t="s">
        <v>75</v>
      </c>
      <c r="B16" t="s">
        <v>40</v>
      </c>
      <c r="C16" s="27">
        <f>SUMIFS('Serie municipal'!$H$2:$H$1132,'Serie municipal'!$B$2:$B$1132,A16,'Serie municipal'!$G$2:$G$1132,"Deforestación")</f>
        <v>401.15999999999991</v>
      </c>
      <c r="D16" s="27">
        <f t="shared" si="0"/>
        <v>16.714999999999996</v>
      </c>
      <c r="J16" s="29" t="s">
        <v>29</v>
      </c>
      <c r="K16" s="29" t="s">
        <v>135</v>
      </c>
    </row>
    <row r="17" spans="1:11" x14ac:dyDescent="0.25">
      <c r="A17" t="s">
        <v>77</v>
      </c>
      <c r="B17" t="s">
        <v>53</v>
      </c>
      <c r="C17" s="27">
        <f>SUMIFS('Serie municipal'!$H$2:$H$1132,'Serie municipal'!$B$2:$B$1132,A17,'Serie municipal'!$G$2:$G$1132,"Deforestación")</f>
        <v>61.96</v>
      </c>
      <c r="D17" s="27">
        <f t="shared" si="0"/>
        <v>2.5816666666666666</v>
      </c>
      <c r="J17" t="s">
        <v>53</v>
      </c>
      <c r="K17" s="28">
        <f>SUMIFS('Serie municipal'!$H$2:$H$1132,'Serie municipal'!$C$2:$C$1132,J17,'Serie municipal'!$G$2:$G$1132,"Deforestación")</f>
        <v>3147.14</v>
      </c>
    </row>
    <row r="18" spans="1:11" x14ac:dyDescent="0.25">
      <c r="A18" t="s">
        <v>79</v>
      </c>
      <c r="B18" t="s">
        <v>53</v>
      </c>
      <c r="C18" s="27">
        <f>SUMIFS('Serie municipal'!$H$2:$H$1132,'Serie municipal'!$B$2:$B$1132,A18,'Serie municipal'!$G$2:$G$1132,"Deforestación")</f>
        <v>197.28000000000003</v>
      </c>
      <c r="D18" s="27">
        <f t="shared" si="0"/>
        <v>8.2200000000000006</v>
      </c>
      <c r="J18" t="s">
        <v>49</v>
      </c>
      <c r="K18" s="28">
        <f>SUMIFS('Serie municipal'!$H$2:$H$1132,'Serie municipal'!$C$2:$C$1132,J18,'Serie municipal'!$G$2:$G$1132,"Deforestación")</f>
        <v>24437.58</v>
      </c>
    </row>
    <row r="19" spans="1:11" x14ac:dyDescent="0.25">
      <c r="A19" t="s">
        <v>81</v>
      </c>
      <c r="B19" t="s">
        <v>49</v>
      </c>
      <c r="C19" s="27">
        <f>SUMIFS('Serie municipal'!$H$2:$H$1132,'Serie municipal'!$B$2:$B$1132,A19,'Serie municipal'!$G$2:$G$1132,"Deforestación")</f>
        <v>13308.939999999999</v>
      </c>
      <c r="D19" s="27">
        <f t="shared" si="0"/>
        <v>554.53916666666657</v>
      </c>
      <c r="J19" t="s">
        <v>69</v>
      </c>
      <c r="K19" s="28">
        <f>SUMIFS('Serie municipal'!$H$2:$H$1132,'Serie municipal'!$C$2:$C$1132,J19,'Serie municipal'!$G$2:$G$1132,"Deforestación")</f>
        <v>3369.3499999999995</v>
      </c>
    </row>
    <row r="20" spans="1:11" x14ac:dyDescent="0.25">
      <c r="A20" t="s">
        <v>83</v>
      </c>
      <c r="B20" t="s">
        <v>40</v>
      </c>
      <c r="C20" s="27">
        <f>SUMIFS('Serie municipal'!$H$2:$H$1132,'Serie municipal'!$B$2:$B$1132,A20,'Serie municipal'!$G$2:$G$1132,"Deforestación")</f>
        <v>504.16</v>
      </c>
      <c r="D20" s="27">
        <f t="shared" si="0"/>
        <v>21.006666666666668</v>
      </c>
      <c r="J20" t="s">
        <v>40</v>
      </c>
      <c r="K20" s="28">
        <f>SUMIFS('Serie municipal'!$H$2:$H$1132,'Serie municipal'!$C$2:$C$1132,J20,'Serie municipal'!$G$2:$G$1132,"Deforestación")</f>
        <v>10132.009999999998</v>
      </c>
    </row>
    <row r="21" spans="1:11" x14ac:dyDescent="0.25">
      <c r="A21" t="s">
        <v>85</v>
      </c>
      <c r="B21" t="s">
        <v>85</v>
      </c>
      <c r="C21" s="27">
        <f>SUMIFS('Serie municipal'!$H$2:$H$1132,'Serie municipal'!$B$2:$B$1132,A21,'Serie municipal'!$G$2:$G$1132,"Deforestación")</f>
        <v>5759.44</v>
      </c>
      <c r="D21" s="27">
        <f t="shared" si="0"/>
        <v>239.97666666666666</v>
      </c>
      <c r="J21" t="s">
        <v>85</v>
      </c>
      <c r="K21" s="28">
        <f>SUMIFS('Serie municipal'!$H$2:$H$1132,'Serie municipal'!$C$2:$C$1132,J21,'Serie municipal'!$G$2:$G$1132,"Deforestación")</f>
        <v>5759.44</v>
      </c>
    </row>
    <row r="22" spans="1:11" x14ac:dyDescent="0.25">
      <c r="A22" t="s">
        <v>87</v>
      </c>
      <c r="B22" t="s">
        <v>69</v>
      </c>
      <c r="C22" s="27">
        <f>SUMIFS('Serie municipal'!$H$2:$H$1132,'Serie municipal'!$B$2:$B$1132,A22,'Serie municipal'!$G$2:$G$1132,"Deforestación")</f>
        <v>1168.8</v>
      </c>
      <c r="D22" s="27">
        <f t="shared" si="0"/>
        <v>48.699999999999996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4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1" width="16" customWidth="1"/>
  </cols>
  <sheetData>
    <row r="1" spans="1:21" x14ac:dyDescent="0.25">
      <c r="A1" s="7" t="s">
        <v>136</v>
      </c>
      <c r="B1" s="7" t="s">
        <v>137</v>
      </c>
      <c r="C1" s="7" t="s">
        <v>138</v>
      </c>
      <c r="D1" s="7" t="s">
        <v>139</v>
      </c>
      <c r="E1" s="7" t="s">
        <v>140</v>
      </c>
      <c r="F1" s="7" t="s">
        <v>141</v>
      </c>
      <c r="G1" s="7" t="s">
        <v>142</v>
      </c>
      <c r="H1" s="7" t="s">
        <v>143</v>
      </c>
      <c r="I1" s="7" t="s">
        <v>144</v>
      </c>
      <c r="J1" s="7" t="s">
        <v>145</v>
      </c>
      <c r="K1" s="7" t="s">
        <v>146</v>
      </c>
      <c r="L1" s="7" t="s">
        <v>147</v>
      </c>
      <c r="M1" s="7" t="s">
        <v>148</v>
      </c>
      <c r="N1" s="7" t="s">
        <v>149</v>
      </c>
      <c r="O1" s="7" t="s">
        <v>150</v>
      </c>
      <c r="P1" s="7" t="s">
        <v>151</v>
      </c>
      <c r="Q1" s="7" t="s">
        <v>152</v>
      </c>
      <c r="R1" s="7" t="s">
        <v>153</v>
      </c>
      <c r="S1" s="7" t="s">
        <v>154</v>
      </c>
      <c r="T1" s="7" t="s">
        <v>155</v>
      </c>
      <c r="U1" s="7" t="s">
        <v>105</v>
      </c>
    </row>
    <row r="2" spans="1:21" x14ac:dyDescent="0.25">
      <c r="A2" s="9">
        <v>5004</v>
      </c>
      <c r="B2" s="9" t="s">
        <v>39</v>
      </c>
      <c r="C2" s="9" t="s">
        <v>40</v>
      </c>
      <c r="D2" s="9" t="s">
        <v>41</v>
      </c>
      <c r="E2" s="9">
        <v>2000</v>
      </c>
      <c r="F2" s="9">
        <v>2002</v>
      </c>
      <c r="G2" s="9">
        <v>2</v>
      </c>
      <c r="H2" s="9">
        <v>13423.94</v>
      </c>
      <c r="I2" s="9">
        <v>16259.23</v>
      </c>
      <c r="J2" s="9"/>
      <c r="K2" s="9"/>
      <c r="L2" s="9">
        <v>9.0500000000000007</v>
      </c>
      <c r="M2" s="9">
        <v>29692.22</v>
      </c>
      <c r="N2" s="9">
        <v>45.21</v>
      </c>
      <c r="O2" s="9"/>
      <c r="P2" s="9"/>
      <c r="Q2" s="9"/>
      <c r="R2" s="9">
        <v>9.0500000000000007</v>
      </c>
      <c r="S2" s="9" t="s">
        <v>43</v>
      </c>
      <c r="T2" s="9" t="s">
        <v>156</v>
      </c>
      <c r="U2" s="9" t="b">
        <v>0</v>
      </c>
    </row>
    <row r="3" spans="1:21" x14ac:dyDescent="0.25">
      <c r="A3" s="9">
        <v>5004</v>
      </c>
      <c r="B3" s="9" t="s">
        <v>39</v>
      </c>
      <c r="C3" s="9" t="s">
        <v>40</v>
      </c>
      <c r="D3" s="9" t="s">
        <v>88</v>
      </c>
      <c r="E3" s="9">
        <v>2002</v>
      </c>
      <c r="F3" s="9">
        <v>2004</v>
      </c>
      <c r="G3" s="9">
        <v>2</v>
      </c>
      <c r="H3" s="9">
        <v>13395.8</v>
      </c>
      <c r="I3" s="9">
        <v>16258.2</v>
      </c>
      <c r="J3" s="9"/>
      <c r="K3" s="9"/>
      <c r="L3" s="9">
        <v>8.99</v>
      </c>
      <c r="M3" s="9">
        <v>29663</v>
      </c>
      <c r="N3" s="9">
        <v>45.16</v>
      </c>
      <c r="O3" s="9">
        <v>13423.94</v>
      </c>
      <c r="P3" s="9" t="s">
        <v>41</v>
      </c>
      <c r="Q3" s="9">
        <v>3.3500000000000002E-2</v>
      </c>
      <c r="R3" s="9">
        <v>8.99</v>
      </c>
      <c r="S3" s="9" t="s">
        <v>89</v>
      </c>
      <c r="T3" s="9" t="s">
        <v>157</v>
      </c>
      <c r="U3" s="9" t="b">
        <v>0</v>
      </c>
    </row>
    <row r="4" spans="1:21" x14ac:dyDescent="0.25">
      <c r="A4" s="9">
        <v>5004</v>
      </c>
      <c r="B4" s="9" t="s">
        <v>39</v>
      </c>
      <c r="C4" s="9" t="s">
        <v>40</v>
      </c>
      <c r="D4" s="9" t="s">
        <v>90</v>
      </c>
      <c r="E4" s="9">
        <v>2004</v>
      </c>
      <c r="F4" s="9">
        <v>2006</v>
      </c>
      <c r="G4" s="9">
        <v>2</v>
      </c>
      <c r="H4" s="9">
        <v>13395.04</v>
      </c>
      <c r="I4" s="9">
        <v>16267.96</v>
      </c>
      <c r="J4" s="9"/>
      <c r="K4" s="9"/>
      <c r="L4" s="9"/>
      <c r="M4" s="9">
        <v>29663</v>
      </c>
      <c r="N4" s="9">
        <v>45.16</v>
      </c>
      <c r="O4" s="9">
        <v>13395.8</v>
      </c>
      <c r="P4" s="9" t="s">
        <v>88</v>
      </c>
      <c r="Q4" s="9"/>
      <c r="R4" s="9">
        <v>0</v>
      </c>
      <c r="S4" s="9" t="s">
        <v>89</v>
      </c>
      <c r="T4" s="9" t="s">
        <v>157</v>
      </c>
      <c r="U4" s="9" t="b">
        <v>0</v>
      </c>
    </row>
    <row r="5" spans="1:21" x14ac:dyDescent="0.25">
      <c r="A5" s="9">
        <v>5004</v>
      </c>
      <c r="B5" s="9" t="s">
        <v>39</v>
      </c>
      <c r="C5" s="9" t="s">
        <v>40</v>
      </c>
      <c r="D5" s="9" t="s">
        <v>91</v>
      </c>
      <c r="E5" s="9">
        <v>2006</v>
      </c>
      <c r="F5" s="9">
        <v>2008</v>
      </c>
      <c r="G5" s="9">
        <v>2</v>
      </c>
      <c r="H5" s="9">
        <v>13394.75</v>
      </c>
      <c r="I5" s="9">
        <v>16266.78</v>
      </c>
      <c r="J5" s="9"/>
      <c r="K5" s="9"/>
      <c r="L5" s="9">
        <v>1.47</v>
      </c>
      <c r="M5" s="9">
        <v>29663</v>
      </c>
      <c r="N5" s="9">
        <v>45.16</v>
      </c>
      <c r="O5" s="9">
        <v>13395.04</v>
      </c>
      <c r="P5" s="9" t="s">
        <v>90</v>
      </c>
      <c r="Q5" s="9">
        <v>5.4999999999999997E-3</v>
      </c>
      <c r="R5" s="9">
        <v>1.47</v>
      </c>
      <c r="S5" s="9" t="s">
        <v>89</v>
      </c>
      <c r="T5" s="9" t="s">
        <v>157</v>
      </c>
      <c r="U5" s="9" t="b">
        <v>0</v>
      </c>
    </row>
    <row r="6" spans="1:21" x14ac:dyDescent="0.25">
      <c r="A6" s="9">
        <v>5004</v>
      </c>
      <c r="B6" s="9" t="s">
        <v>39</v>
      </c>
      <c r="C6" s="9" t="s">
        <v>40</v>
      </c>
      <c r="D6" s="9" t="s">
        <v>92</v>
      </c>
      <c r="E6" s="9">
        <v>2008</v>
      </c>
      <c r="F6" s="9">
        <v>2010</v>
      </c>
      <c r="G6" s="9">
        <v>2</v>
      </c>
      <c r="H6" s="9">
        <v>13429.01</v>
      </c>
      <c r="I6" s="9">
        <v>16225.36</v>
      </c>
      <c r="J6" s="9"/>
      <c r="K6" s="9">
        <v>5.67</v>
      </c>
      <c r="L6" s="9">
        <v>2.95</v>
      </c>
      <c r="M6" s="9">
        <v>29657.32</v>
      </c>
      <c r="N6" s="9">
        <v>45.28</v>
      </c>
      <c r="O6" s="9">
        <v>13394.75</v>
      </c>
      <c r="P6" s="9" t="s">
        <v>91</v>
      </c>
      <c r="Q6" s="9">
        <v>1.0999999999999999E-2</v>
      </c>
      <c r="R6" s="9">
        <v>2.95</v>
      </c>
      <c r="S6" s="9" t="s">
        <v>89</v>
      </c>
      <c r="T6" s="9" t="s">
        <v>157</v>
      </c>
      <c r="U6" s="9" t="b">
        <v>0</v>
      </c>
    </row>
    <row r="7" spans="1:21" x14ac:dyDescent="0.25">
      <c r="A7" s="9">
        <v>5004</v>
      </c>
      <c r="B7" s="9" t="s">
        <v>39</v>
      </c>
      <c r="C7" s="9" t="s">
        <v>40</v>
      </c>
      <c r="D7" s="9" t="s">
        <v>93</v>
      </c>
      <c r="E7" s="9">
        <v>2010</v>
      </c>
      <c r="F7" s="9">
        <v>2012</v>
      </c>
      <c r="G7" s="9">
        <v>2</v>
      </c>
      <c r="H7" s="9"/>
      <c r="I7" s="9"/>
      <c r="J7" s="9"/>
      <c r="K7" s="9"/>
      <c r="L7" s="9">
        <v>74.44</v>
      </c>
      <c r="M7" s="9"/>
      <c r="N7" s="9"/>
      <c r="O7" s="9">
        <v>13429.01</v>
      </c>
      <c r="P7" s="9" t="s">
        <v>92</v>
      </c>
      <c r="Q7" s="9">
        <v>0.2772</v>
      </c>
      <c r="R7" s="9">
        <v>74.44</v>
      </c>
      <c r="S7" s="9" t="s">
        <v>94</v>
      </c>
      <c r="T7" s="9" t="s">
        <v>158</v>
      </c>
      <c r="U7" s="9" t="b">
        <v>1</v>
      </c>
    </row>
    <row r="8" spans="1:21" x14ac:dyDescent="0.25">
      <c r="A8" s="9">
        <v>5004</v>
      </c>
      <c r="B8" s="9" t="s">
        <v>39</v>
      </c>
      <c r="C8" s="9" t="s">
        <v>40</v>
      </c>
      <c r="D8" s="9" t="s">
        <v>96</v>
      </c>
      <c r="E8" s="9">
        <v>2012</v>
      </c>
      <c r="F8" s="9">
        <v>2013</v>
      </c>
      <c r="G8" s="9">
        <v>1</v>
      </c>
      <c r="H8" s="9">
        <v>13505.37</v>
      </c>
      <c r="I8" s="9">
        <v>16085.67</v>
      </c>
      <c r="J8" s="9"/>
      <c r="K8" s="9">
        <v>5.95</v>
      </c>
      <c r="L8" s="9">
        <v>87.29</v>
      </c>
      <c r="M8" s="9">
        <v>29678.32</v>
      </c>
      <c r="N8" s="9">
        <v>45.51</v>
      </c>
      <c r="O8" s="9">
        <v>13429.01</v>
      </c>
      <c r="P8" s="9" t="s">
        <v>92</v>
      </c>
      <c r="Q8" s="9">
        <v>0.65</v>
      </c>
      <c r="R8" s="9">
        <v>87.29</v>
      </c>
      <c r="S8" s="9" t="s">
        <v>97</v>
      </c>
      <c r="T8" s="9" t="s">
        <v>159</v>
      </c>
      <c r="U8" s="9" t="b">
        <v>0</v>
      </c>
    </row>
    <row r="9" spans="1:21" x14ac:dyDescent="0.25">
      <c r="A9" s="9">
        <v>5004</v>
      </c>
      <c r="B9" s="9" t="s">
        <v>39</v>
      </c>
      <c r="C9" s="9" t="s">
        <v>40</v>
      </c>
      <c r="D9" s="9" t="s">
        <v>98</v>
      </c>
      <c r="E9" s="9">
        <v>2013</v>
      </c>
      <c r="F9" s="9">
        <v>2014</v>
      </c>
      <c r="G9" s="9">
        <v>1</v>
      </c>
      <c r="H9" s="9">
        <v>13485.89</v>
      </c>
      <c r="I9" s="9">
        <v>16189.26</v>
      </c>
      <c r="J9" s="9"/>
      <c r="K9" s="9"/>
      <c r="L9" s="9">
        <v>15.25</v>
      </c>
      <c r="M9" s="9">
        <v>29690.400000000001</v>
      </c>
      <c r="N9" s="9">
        <v>45.42</v>
      </c>
      <c r="O9" s="9">
        <v>13505.37</v>
      </c>
      <c r="P9" s="9" t="s">
        <v>96</v>
      </c>
      <c r="Q9" s="9">
        <v>0.1129</v>
      </c>
      <c r="R9" s="9">
        <v>15.25</v>
      </c>
      <c r="S9" s="9" t="s">
        <v>89</v>
      </c>
      <c r="T9" s="9" t="s">
        <v>157</v>
      </c>
      <c r="U9" s="9" t="b">
        <v>0</v>
      </c>
    </row>
    <row r="10" spans="1:21" x14ac:dyDescent="0.25">
      <c r="A10" s="9">
        <v>5004</v>
      </c>
      <c r="B10" s="9" t="s">
        <v>39</v>
      </c>
      <c r="C10" s="9" t="s">
        <v>40</v>
      </c>
      <c r="D10" s="9" t="s">
        <v>99</v>
      </c>
      <c r="E10" s="9">
        <v>2014</v>
      </c>
      <c r="F10" s="9">
        <v>2015</v>
      </c>
      <c r="G10" s="9">
        <v>1</v>
      </c>
      <c r="H10" s="9">
        <v>13453.08</v>
      </c>
      <c r="I10" s="9">
        <v>16184</v>
      </c>
      <c r="J10" s="9"/>
      <c r="K10" s="9"/>
      <c r="L10" s="9">
        <v>17.09</v>
      </c>
      <c r="M10" s="9">
        <v>29654.16</v>
      </c>
      <c r="N10" s="9">
        <v>45.37</v>
      </c>
      <c r="O10" s="9">
        <v>13485.89</v>
      </c>
      <c r="P10" s="9" t="s">
        <v>98</v>
      </c>
      <c r="Q10" s="9">
        <v>0.12670000000000001</v>
      </c>
      <c r="R10" s="9">
        <v>17.09</v>
      </c>
      <c r="S10" s="9" t="s">
        <v>43</v>
      </c>
      <c r="T10" s="9" t="s">
        <v>156</v>
      </c>
      <c r="U10" s="9" t="b">
        <v>0</v>
      </c>
    </row>
    <row r="11" spans="1:21" x14ac:dyDescent="0.25">
      <c r="A11" s="9">
        <v>5004</v>
      </c>
      <c r="B11" s="9" t="s">
        <v>39</v>
      </c>
      <c r="C11" s="9" t="s">
        <v>40</v>
      </c>
      <c r="D11" s="9" t="s">
        <v>100</v>
      </c>
      <c r="E11" s="9">
        <v>2015</v>
      </c>
      <c r="F11" s="9">
        <v>2016</v>
      </c>
      <c r="G11" s="9">
        <v>1</v>
      </c>
      <c r="H11" s="9"/>
      <c r="I11" s="9"/>
      <c r="J11" s="9"/>
      <c r="K11" s="9"/>
      <c r="L11" s="9">
        <v>25.09</v>
      </c>
      <c r="M11" s="9"/>
      <c r="N11" s="9"/>
      <c r="O11" s="9">
        <v>13453.08</v>
      </c>
      <c r="P11" s="9" t="s">
        <v>99</v>
      </c>
      <c r="Q11" s="9">
        <v>0.1865</v>
      </c>
      <c r="R11" s="9">
        <v>25.09</v>
      </c>
      <c r="S11" s="9" t="s">
        <v>160</v>
      </c>
      <c r="T11" s="9" t="s">
        <v>158</v>
      </c>
      <c r="U11" s="9" t="b">
        <v>1</v>
      </c>
    </row>
    <row r="12" spans="1:21" x14ac:dyDescent="0.25">
      <c r="A12" s="9">
        <v>5004</v>
      </c>
      <c r="B12" s="9" t="s">
        <v>39</v>
      </c>
      <c r="C12" s="9" t="s">
        <v>40</v>
      </c>
      <c r="D12" s="9" t="s">
        <v>102</v>
      </c>
      <c r="E12" s="9">
        <v>2016</v>
      </c>
      <c r="F12" s="9">
        <v>2017</v>
      </c>
      <c r="G12" s="9">
        <v>1</v>
      </c>
      <c r="H12" s="9">
        <v>13665</v>
      </c>
      <c r="I12" s="9">
        <v>15962.38</v>
      </c>
      <c r="J12" s="9"/>
      <c r="K12" s="9"/>
      <c r="L12" s="9">
        <v>35.659999999999997</v>
      </c>
      <c r="M12" s="9">
        <v>29663.040000000001</v>
      </c>
      <c r="N12" s="9">
        <v>46.07</v>
      </c>
      <c r="O12" s="9">
        <v>13453.08</v>
      </c>
      <c r="P12" s="9" t="s">
        <v>99</v>
      </c>
      <c r="Q12" s="9">
        <v>0.2651</v>
      </c>
      <c r="R12" s="9">
        <v>35.659999999999997</v>
      </c>
      <c r="S12" s="9" t="s">
        <v>89</v>
      </c>
      <c r="T12" s="9" t="s">
        <v>157</v>
      </c>
      <c r="U12" s="9" t="b">
        <v>0</v>
      </c>
    </row>
    <row r="13" spans="1:21" x14ac:dyDescent="0.25">
      <c r="A13" s="9">
        <v>5004</v>
      </c>
      <c r="B13" s="9" t="s">
        <v>39</v>
      </c>
      <c r="C13" s="9" t="s">
        <v>40</v>
      </c>
      <c r="D13" s="9" t="s">
        <v>103</v>
      </c>
      <c r="E13" s="9">
        <v>2017</v>
      </c>
      <c r="F13" s="9">
        <v>2018</v>
      </c>
      <c r="G13" s="9">
        <v>1</v>
      </c>
      <c r="H13" s="9">
        <v>13654.53</v>
      </c>
      <c r="I13" s="9">
        <v>16002.85</v>
      </c>
      <c r="J13" s="9"/>
      <c r="K13" s="9">
        <v>1.32</v>
      </c>
      <c r="L13" s="9">
        <v>4.28</v>
      </c>
      <c r="M13" s="9">
        <v>29661.66</v>
      </c>
      <c r="N13" s="9">
        <v>46.03</v>
      </c>
      <c r="O13" s="9">
        <v>13665</v>
      </c>
      <c r="P13" s="9" t="s">
        <v>102</v>
      </c>
      <c r="Q13" s="9">
        <v>3.1300000000000001E-2</v>
      </c>
      <c r="R13" s="9">
        <v>4.28</v>
      </c>
      <c r="S13" s="9" t="s">
        <v>89</v>
      </c>
      <c r="T13" s="9" t="s">
        <v>157</v>
      </c>
      <c r="U13" s="9" t="b">
        <v>0</v>
      </c>
    </row>
    <row r="14" spans="1:21" x14ac:dyDescent="0.25">
      <c r="A14" s="9">
        <v>5004</v>
      </c>
      <c r="B14" s="9" t="s">
        <v>39</v>
      </c>
      <c r="C14" s="9" t="s">
        <v>40</v>
      </c>
      <c r="D14" s="9" t="s">
        <v>104</v>
      </c>
      <c r="E14" s="9">
        <v>2018</v>
      </c>
      <c r="F14" s="9">
        <v>2019</v>
      </c>
      <c r="G14" s="9">
        <v>1</v>
      </c>
      <c r="H14" s="9"/>
      <c r="I14" s="9"/>
      <c r="J14" s="9"/>
      <c r="K14" s="9"/>
      <c r="L14" s="9">
        <v>2.7</v>
      </c>
      <c r="M14" s="9"/>
      <c r="N14" s="9"/>
      <c r="O14" s="9">
        <v>13654.53</v>
      </c>
      <c r="P14" s="9" t="s">
        <v>103</v>
      </c>
      <c r="Q14" s="9">
        <v>1.9800000000000002E-2</v>
      </c>
      <c r="R14" s="9">
        <v>2.7</v>
      </c>
      <c r="S14" s="9" t="s">
        <v>105</v>
      </c>
      <c r="T14" s="9" t="s">
        <v>158</v>
      </c>
      <c r="U14" s="9" t="b">
        <v>1</v>
      </c>
    </row>
    <row r="15" spans="1:21" x14ac:dyDescent="0.25">
      <c r="A15" s="9">
        <v>5004</v>
      </c>
      <c r="B15" s="9" t="s">
        <v>39</v>
      </c>
      <c r="C15" s="9" t="s">
        <v>40</v>
      </c>
      <c r="D15" s="9" t="s">
        <v>106</v>
      </c>
      <c r="E15" s="9">
        <v>2019</v>
      </c>
      <c r="F15" s="9">
        <v>2020</v>
      </c>
      <c r="G15" s="9">
        <v>1</v>
      </c>
      <c r="H15" s="9">
        <v>13617.96</v>
      </c>
      <c r="I15" s="9">
        <v>16043.91</v>
      </c>
      <c r="J15" s="9"/>
      <c r="K15" s="9"/>
      <c r="L15" s="9">
        <v>1.1200000000000001</v>
      </c>
      <c r="M15" s="9">
        <v>29662.99</v>
      </c>
      <c r="N15" s="9">
        <v>45.91</v>
      </c>
      <c r="O15" s="9">
        <v>13654.53</v>
      </c>
      <c r="P15" s="9" t="s">
        <v>103</v>
      </c>
      <c r="Q15" s="9">
        <v>8.2000000000000007E-3</v>
      </c>
      <c r="R15" s="9">
        <v>1.1200000000000001</v>
      </c>
      <c r="S15" s="9" t="s">
        <v>89</v>
      </c>
      <c r="T15" s="9" t="s">
        <v>157</v>
      </c>
      <c r="U15" s="9" t="b">
        <v>0</v>
      </c>
    </row>
    <row r="16" spans="1:21" x14ac:dyDescent="0.25">
      <c r="A16" s="9">
        <v>5004</v>
      </c>
      <c r="B16" s="9" t="s">
        <v>39</v>
      </c>
      <c r="C16" s="9" t="s">
        <v>40</v>
      </c>
      <c r="D16" s="9" t="s">
        <v>107</v>
      </c>
      <c r="E16" s="9">
        <v>2020</v>
      </c>
      <c r="F16" s="9">
        <v>2021</v>
      </c>
      <c r="G16" s="9">
        <v>1</v>
      </c>
      <c r="H16" s="9">
        <v>13617.95</v>
      </c>
      <c r="I16" s="9">
        <v>16045.04</v>
      </c>
      <c r="J16" s="9"/>
      <c r="K16" s="9"/>
      <c r="L16" s="9"/>
      <c r="M16" s="9">
        <v>29662.99</v>
      </c>
      <c r="N16" s="9">
        <v>45.91</v>
      </c>
      <c r="O16" s="9">
        <v>13617.96</v>
      </c>
      <c r="P16" s="9" t="s">
        <v>106</v>
      </c>
      <c r="Q16" s="9"/>
      <c r="R16" s="9">
        <v>0</v>
      </c>
      <c r="S16" s="9" t="s">
        <v>89</v>
      </c>
      <c r="T16" s="9" t="s">
        <v>157</v>
      </c>
      <c r="U16" s="9" t="b">
        <v>0</v>
      </c>
    </row>
    <row r="17" spans="1:21" x14ac:dyDescent="0.25">
      <c r="A17" s="9">
        <v>5004</v>
      </c>
      <c r="B17" s="9" t="s">
        <v>39</v>
      </c>
      <c r="C17" s="9" t="s">
        <v>40</v>
      </c>
      <c r="D17" s="9" t="s">
        <v>108</v>
      </c>
      <c r="E17" s="9">
        <v>2021</v>
      </c>
      <c r="F17" s="9">
        <v>2022</v>
      </c>
      <c r="G17" s="9">
        <v>1</v>
      </c>
      <c r="H17" s="9">
        <v>13601.07</v>
      </c>
      <c r="I17" s="9">
        <v>16056.07</v>
      </c>
      <c r="J17" s="9"/>
      <c r="K17" s="9"/>
      <c r="L17" s="9">
        <v>5.77</v>
      </c>
      <c r="M17" s="9">
        <v>29662.91</v>
      </c>
      <c r="N17" s="9">
        <v>45.85</v>
      </c>
      <c r="O17" s="9">
        <v>13617.95</v>
      </c>
      <c r="P17" s="9" t="s">
        <v>107</v>
      </c>
      <c r="Q17" s="9">
        <v>4.2299999999999997E-2</v>
      </c>
      <c r="R17" s="9">
        <v>5.77</v>
      </c>
      <c r="S17" s="9" t="s">
        <v>89</v>
      </c>
      <c r="T17" s="9" t="s">
        <v>157</v>
      </c>
      <c r="U17" s="9" t="b">
        <v>0</v>
      </c>
    </row>
    <row r="18" spans="1:21" x14ac:dyDescent="0.25">
      <c r="A18" s="9">
        <v>5004</v>
      </c>
      <c r="B18" s="9" t="s">
        <v>39</v>
      </c>
      <c r="C18" s="9" t="s">
        <v>40</v>
      </c>
      <c r="D18" s="9" t="s">
        <v>109</v>
      </c>
      <c r="E18" s="9">
        <v>2022</v>
      </c>
      <c r="F18" s="9">
        <v>2023</v>
      </c>
      <c r="G18" s="9">
        <v>1</v>
      </c>
      <c r="H18" s="9">
        <v>13573.16</v>
      </c>
      <c r="I18" s="9">
        <v>16081.81</v>
      </c>
      <c r="J18" s="9"/>
      <c r="K18" s="9"/>
      <c r="L18" s="9">
        <v>8.2200000000000006</v>
      </c>
      <c r="M18" s="9">
        <v>29663.19</v>
      </c>
      <c r="N18" s="9">
        <v>45.76</v>
      </c>
      <c r="O18" s="9">
        <v>13601.07</v>
      </c>
      <c r="P18" s="9" t="s">
        <v>108</v>
      </c>
      <c r="Q18" s="9">
        <v>6.0400000000000002E-2</v>
      </c>
      <c r="R18" s="9">
        <v>8.2200000000000006</v>
      </c>
      <c r="S18" s="9" t="s">
        <v>89</v>
      </c>
      <c r="T18" s="9" t="s">
        <v>157</v>
      </c>
      <c r="U18" s="9" t="b">
        <v>0</v>
      </c>
    </row>
    <row r="19" spans="1:21" x14ac:dyDescent="0.25">
      <c r="A19" s="9">
        <v>5004</v>
      </c>
      <c r="B19" s="9" t="s">
        <v>39</v>
      </c>
      <c r="C19" s="9" t="s">
        <v>40</v>
      </c>
      <c r="D19" s="9" t="s">
        <v>110</v>
      </c>
      <c r="E19" s="9">
        <v>2023</v>
      </c>
      <c r="F19" s="9">
        <v>2024</v>
      </c>
      <c r="G19" s="9">
        <v>1</v>
      </c>
      <c r="H19" s="9"/>
      <c r="I19" s="9"/>
      <c r="J19" s="9"/>
      <c r="K19" s="9"/>
      <c r="L19" s="9">
        <v>12.14</v>
      </c>
      <c r="M19" s="9"/>
      <c r="N19" s="9"/>
      <c r="O19" s="9">
        <v>13573.16</v>
      </c>
      <c r="P19" s="9" t="s">
        <v>109</v>
      </c>
      <c r="Q19" s="9">
        <v>8.9399999999999993E-2</v>
      </c>
      <c r="R19" s="9">
        <v>12.14</v>
      </c>
      <c r="S19" s="9" t="s">
        <v>105</v>
      </c>
      <c r="T19" s="9" t="s">
        <v>158</v>
      </c>
      <c r="U19" s="9" t="b">
        <v>1</v>
      </c>
    </row>
    <row r="20" spans="1:21" x14ac:dyDescent="0.25">
      <c r="A20" s="9">
        <v>5045</v>
      </c>
      <c r="B20" s="9" t="s">
        <v>48</v>
      </c>
      <c r="C20" s="9" t="s">
        <v>49</v>
      </c>
      <c r="D20" s="9" t="s">
        <v>41</v>
      </c>
      <c r="E20" s="9">
        <v>2000</v>
      </c>
      <c r="F20" s="9">
        <v>2002</v>
      </c>
      <c r="G20" s="9">
        <v>2</v>
      </c>
      <c r="H20" s="9">
        <v>17703.41</v>
      </c>
      <c r="I20" s="9">
        <v>35423.51</v>
      </c>
      <c r="J20" s="9"/>
      <c r="K20" s="9">
        <v>252.81</v>
      </c>
      <c r="L20" s="9">
        <v>16.41</v>
      </c>
      <c r="M20" s="9">
        <v>53143.34</v>
      </c>
      <c r="N20" s="9">
        <v>33.31</v>
      </c>
      <c r="O20" s="9"/>
      <c r="P20" s="9"/>
      <c r="Q20" s="9"/>
      <c r="R20" s="9">
        <v>16.41</v>
      </c>
      <c r="S20" s="9" t="s">
        <v>43</v>
      </c>
      <c r="T20" s="9" t="s">
        <v>156</v>
      </c>
      <c r="U20" s="9" t="b">
        <v>0</v>
      </c>
    </row>
    <row r="21" spans="1:21" x14ac:dyDescent="0.25">
      <c r="A21" s="9">
        <v>5045</v>
      </c>
      <c r="B21" s="9" t="s">
        <v>48</v>
      </c>
      <c r="C21" s="9" t="s">
        <v>49</v>
      </c>
      <c r="D21" s="9" t="s">
        <v>88</v>
      </c>
      <c r="E21" s="9">
        <v>2002</v>
      </c>
      <c r="F21" s="9">
        <v>2004</v>
      </c>
      <c r="G21" s="9">
        <v>2</v>
      </c>
      <c r="H21" s="9">
        <v>17674.259999999998</v>
      </c>
      <c r="I21" s="9">
        <v>35282.730000000003</v>
      </c>
      <c r="J21" s="9"/>
      <c r="K21" s="9">
        <v>284.07</v>
      </c>
      <c r="L21" s="9">
        <v>40.270000000000003</v>
      </c>
      <c r="M21" s="9">
        <v>52997.26</v>
      </c>
      <c r="N21" s="9">
        <v>33.35</v>
      </c>
      <c r="O21" s="9">
        <v>17703.41</v>
      </c>
      <c r="P21" s="9" t="s">
        <v>41</v>
      </c>
      <c r="Q21" s="9">
        <v>0.1137</v>
      </c>
      <c r="R21" s="9">
        <v>40.270000000000003</v>
      </c>
      <c r="S21" s="9" t="s">
        <v>89</v>
      </c>
      <c r="T21" s="9" t="s">
        <v>157</v>
      </c>
      <c r="U21" s="9" t="b">
        <v>0</v>
      </c>
    </row>
    <row r="22" spans="1:21" x14ac:dyDescent="0.25">
      <c r="A22" s="9">
        <v>5045</v>
      </c>
      <c r="B22" s="9" t="s">
        <v>48</v>
      </c>
      <c r="C22" s="9" t="s">
        <v>49</v>
      </c>
      <c r="D22" s="9" t="s">
        <v>90</v>
      </c>
      <c r="E22" s="9">
        <v>2004</v>
      </c>
      <c r="F22" s="9">
        <v>2006</v>
      </c>
      <c r="G22" s="9">
        <v>2</v>
      </c>
      <c r="H22" s="9">
        <v>17662.97</v>
      </c>
      <c r="I22" s="9">
        <v>35376.58</v>
      </c>
      <c r="J22" s="9"/>
      <c r="K22" s="9">
        <v>179.33</v>
      </c>
      <c r="L22" s="9">
        <v>62.23</v>
      </c>
      <c r="M22" s="9">
        <v>53101.78</v>
      </c>
      <c r="N22" s="9">
        <v>33.26</v>
      </c>
      <c r="O22" s="9">
        <v>17674.259999999998</v>
      </c>
      <c r="P22" s="9" t="s">
        <v>88</v>
      </c>
      <c r="Q22" s="9">
        <v>0.17599999999999999</v>
      </c>
      <c r="R22" s="9">
        <v>62.23</v>
      </c>
      <c r="S22" s="9" t="s">
        <v>89</v>
      </c>
      <c r="T22" s="9" t="s">
        <v>157</v>
      </c>
      <c r="U22" s="9" t="b">
        <v>0</v>
      </c>
    </row>
    <row r="23" spans="1:21" x14ac:dyDescent="0.25">
      <c r="A23" s="9">
        <v>5045</v>
      </c>
      <c r="B23" s="9" t="s">
        <v>48</v>
      </c>
      <c r="C23" s="9" t="s">
        <v>49</v>
      </c>
      <c r="D23" s="9" t="s">
        <v>91</v>
      </c>
      <c r="E23" s="9">
        <v>2006</v>
      </c>
      <c r="F23" s="9">
        <v>2008</v>
      </c>
      <c r="G23" s="9">
        <v>2</v>
      </c>
      <c r="H23" s="9">
        <v>17510.36</v>
      </c>
      <c r="I23" s="9">
        <v>35442.980000000003</v>
      </c>
      <c r="J23" s="9"/>
      <c r="K23" s="9">
        <v>128.05000000000001</v>
      </c>
      <c r="L23" s="9">
        <v>199.72</v>
      </c>
      <c r="M23" s="9">
        <v>53153.05</v>
      </c>
      <c r="N23" s="9">
        <v>32.94</v>
      </c>
      <c r="O23" s="9">
        <v>17662.97</v>
      </c>
      <c r="P23" s="9" t="s">
        <v>90</v>
      </c>
      <c r="Q23" s="9">
        <v>0.56540000000000001</v>
      </c>
      <c r="R23" s="9">
        <v>199.72</v>
      </c>
      <c r="S23" s="9" t="s">
        <v>89</v>
      </c>
      <c r="T23" s="9" t="s">
        <v>157</v>
      </c>
      <c r="U23" s="9" t="b">
        <v>0</v>
      </c>
    </row>
    <row r="24" spans="1:21" x14ac:dyDescent="0.25">
      <c r="A24" s="9">
        <v>5045</v>
      </c>
      <c r="B24" s="9" t="s">
        <v>48</v>
      </c>
      <c r="C24" s="9" t="s">
        <v>49</v>
      </c>
      <c r="D24" s="9" t="s">
        <v>92</v>
      </c>
      <c r="E24" s="9">
        <v>2008</v>
      </c>
      <c r="F24" s="9">
        <v>2010</v>
      </c>
      <c r="G24" s="9">
        <v>2</v>
      </c>
      <c r="H24" s="9">
        <v>17452.830000000002</v>
      </c>
      <c r="I24" s="9">
        <v>35406.959999999999</v>
      </c>
      <c r="J24" s="9"/>
      <c r="K24" s="9">
        <v>318.51</v>
      </c>
      <c r="L24" s="9">
        <v>102.76</v>
      </c>
      <c r="M24" s="9">
        <v>52962.559999999998</v>
      </c>
      <c r="N24" s="9">
        <v>32.950000000000003</v>
      </c>
      <c r="O24" s="9">
        <v>17510.36</v>
      </c>
      <c r="P24" s="9" t="s">
        <v>91</v>
      </c>
      <c r="Q24" s="9">
        <v>0.29339999999999999</v>
      </c>
      <c r="R24" s="9">
        <v>102.76</v>
      </c>
      <c r="S24" s="9" t="s">
        <v>89</v>
      </c>
      <c r="T24" s="9" t="s">
        <v>157</v>
      </c>
      <c r="U24" s="9" t="b">
        <v>0</v>
      </c>
    </row>
    <row r="25" spans="1:21" x14ac:dyDescent="0.25">
      <c r="A25" s="9">
        <v>5045</v>
      </c>
      <c r="B25" s="9" t="s">
        <v>48</v>
      </c>
      <c r="C25" s="9" t="s">
        <v>49</v>
      </c>
      <c r="D25" s="9" t="s">
        <v>93</v>
      </c>
      <c r="E25" s="9">
        <v>2010</v>
      </c>
      <c r="F25" s="9">
        <v>2012</v>
      </c>
      <c r="G25" s="9">
        <v>2</v>
      </c>
      <c r="H25" s="9"/>
      <c r="I25" s="9"/>
      <c r="J25" s="9"/>
      <c r="K25" s="9"/>
      <c r="L25" s="9">
        <v>88.39</v>
      </c>
      <c r="M25" s="9"/>
      <c r="N25" s="9"/>
      <c r="O25" s="9">
        <v>17452.830000000002</v>
      </c>
      <c r="P25" s="9" t="s">
        <v>92</v>
      </c>
      <c r="Q25" s="9">
        <v>0.25319999999999998</v>
      </c>
      <c r="R25" s="9">
        <v>88.39</v>
      </c>
      <c r="S25" s="9" t="s">
        <v>94</v>
      </c>
      <c r="T25" s="9" t="s">
        <v>158</v>
      </c>
      <c r="U25" s="9" t="b">
        <v>1</v>
      </c>
    </row>
    <row r="26" spans="1:21" x14ac:dyDescent="0.25">
      <c r="A26" s="9">
        <v>5045</v>
      </c>
      <c r="B26" s="9" t="s">
        <v>48</v>
      </c>
      <c r="C26" s="9" t="s">
        <v>49</v>
      </c>
      <c r="D26" s="9" t="s">
        <v>96</v>
      </c>
      <c r="E26" s="9">
        <v>2012</v>
      </c>
      <c r="F26" s="9">
        <v>2013</v>
      </c>
      <c r="G26" s="9">
        <v>1</v>
      </c>
      <c r="H26" s="9">
        <v>18613.45</v>
      </c>
      <c r="I26" s="9">
        <v>34595.660000000003</v>
      </c>
      <c r="J26" s="9"/>
      <c r="K26" s="9">
        <v>54.01</v>
      </c>
      <c r="L26" s="9">
        <v>54.01</v>
      </c>
      <c r="M26" s="9">
        <v>53263.12</v>
      </c>
      <c r="N26" s="9">
        <v>34.950000000000003</v>
      </c>
      <c r="O26" s="9">
        <v>17452.830000000002</v>
      </c>
      <c r="P26" s="9" t="s">
        <v>92</v>
      </c>
      <c r="Q26" s="9">
        <v>0.3095</v>
      </c>
      <c r="R26" s="9">
        <v>54.01</v>
      </c>
      <c r="S26" s="9" t="s">
        <v>97</v>
      </c>
      <c r="T26" s="9" t="s">
        <v>159</v>
      </c>
      <c r="U26" s="9" t="b">
        <v>0</v>
      </c>
    </row>
    <row r="27" spans="1:21" x14ac:dyDescent="0.25">
      <c r="A27" s="9">
        <v>5045</v>
      </c>
      <c r="B27" s="9" t="s">
        <v>48</v>
      </c>
      <c r="C27" s="9" t="s">
        <v>49</v>
      </c>
      <c r="D27" s="9" t="s">
        <v>98</v>
      </c>
      <c r="E27" s="9">
        <v>2013</v>
      </c>
      <c r="F27" s="9">
        <v>2014</v>
      </c>
      <c r="G27" s="9">
        <v>1</v>
      </c>
      <c r="H27" s="9">
        <v>16768.009999999998</v>
      </c>
      <c r="I27" s="9">
        <v>34764.97</v>
      </c>
      <c r="J27" s="9"/>
      <c r="K27" s="9">
        <v>1432.31</v>
      </c>
      <c r="L27" s="9">
        <v>410.94</v>
      </c>
      <c r="M27" s="9">
        <v>51943.92</v>
      </c>
      <c r="N27" s="9">
        <v>32.28</v>
      </c>
      <c r="O27" s="9">
        <v>18613.45</v>
      </c>
      <c r="P27" s="9" t="s">
        <v>96</v>
      </c>
      <c r="Q27" s="9">
        <v>2.2078000000000002</v>
      </c>
      <c r="R27" s="9">
        <v>410.94</v>
      </c>
      <c r="S27" s="9" t="s">
        <v>89</v>
      </c>
      <c r="T27" s="9" t="s">
        <v>157</v>
      </c>
      <c r="U27" s="9" t="b">
        <v>0</v>
      </c>
    </row>
    <row r="28" spans="1:21" x14ac:dyDescent="0.25">
      <c r="A28" s="9">
        <v>5045</v>
      </c>
      <c r="B28" s="9" t="s">
        <v>48</v>
      </c>
      <c r="C28" s="9" t="s">
        <v>49</v>
      </c>
      <c r="D28" s="9" t="s">
        <v>99</v>
      </c>
      <c r="E28" s="9">
        <v>2014</v>
      </c>
      <c r="F28" s="9">
        <v>2015</v>
      </c>
      <c r="G28" s="9">
        <v>1</v>
      </c>
      <c r="H28" s="9">
        <v>17953.490000000002</v>
      </c>
      <c r="I28" s="9">
        <v>34905.96</v>
      </c>
      <c r="J28" s="9"/>
      <c r="K28" s="9">
        <v>361.69</v>
      </c>
      <c r="L28" s="9">
        <v>54.57</v>
      </c>
      <c r="M28" s="9">
        <v>52914.02</v>
      </c>
      <c r="N28" s="9">
        <v>33.93</v>
      </c>
      <c r="O28" s="9">
        <v>16768.009999999998</v>
      </c>
      <c r="P28" s="9" t="s">
        <v>98</v>
      </c>
      <c r="Q28" s="9">
        <v>0.32550000000000001</v>
      </c>
      <c r="R28" s="9">
        <v>54.57</v>
      </c>
      <c r="S28" s="9" t="s">
        <v>43</v>
      </c>
      <c r="T28" s="9" t="s">
        <v>156</v>
      </c>
      <c r="U28" s="9" t="b">
        <v>0</v>
      </c>
    </row>
    <row r="29" spans="1:21" x14ac:dyDescent="0.25">
      <c r="A29" s="9">
        <v>5045</v>
      </c>
      <c r="B29" s="9" t="s">
        <v>48</v>
      </c>
      <c r="C29" s="9" t="s">
        <v>49</v>
      </c>
      <c r="D29" s="9" t="s">
        <v>100</v>
      </c>
      <c r="E29" s="9">
        <v>2015</v>
      </c>
      <c r="F29" s="9">
        <v>2016</v>
      </c>
      <c r="G29" s="9">
        <v>1</v>
      </c>
      <c r="H29" s="9"/>
      <c r="I29" s="9"/>
      <c r="J29" s="9"/>
      <c r="K29" s="9"/>
      <c r="L29" s="9">
        <v>367.41</v>
      </c>
      <c r="M29" s="9"/>
      <c r="N29" s="9"/>
      <c r="O29" s="9">
        <v>17953.490000000002</v>
      </c>
      <c r="P29" s="9" t="s">
        <v>99</v>
      </c>
      <c r="Q29" s="9">
        <v>2.0465</v>
      </c>
      <c r="R29" s="9">
        <v>367.41</v>
      </c>
      <c r="S29" s="9" t="s">
        <v>160</v>
      </c>
      <c r="T29" s="9" t="s">
        <v>158</v>
      </c>
      <c r="U29" s="9" t="b">
        <v>1</v>
      </c>
    </row>
    <row r="30" spans="1:21" x14ac:dyDescent="0.25">
      <c r="A30" s="9">
        <v>5045</v>
      </c>
      <c r="B30" s="9" t="s">
        <v>48</v>
      </c>
      <c r="C30" s="9" t="s">
        <v>49</v>
      </c>
      <c r="D30" s="9" t="s">
        <v>102</v>
      </c>
      <c r="E30" s="9">
        <v>2016</v>
      </c>
      <c r="F30" s="9">
        <v>2017</v>
      </c>
      <c r="G30" s="9">
        <v>1</v>
      </c>
      <c r="H30" s="9">
        <v>17473.419999999998</v>
      </c>
      <c r="I30" s="9">
        <v>35185.86</v>
      </c>
      <c r="J30" s="9">
        <v>12.92</v>
      </c>
      <c r="K30" s="9">
        <v>366.05</v>
      </c>
      <c r="L30" s="9">
        <v>241.81</v>
      </c>
      <c r="M30" s="9">
        <v>52914.02</v>
      </c>
      <c r="N30" s="9">
        <v>33.020000000000003</v>
      </c>
      <c r="O30" s="9">
        <v>17953.490000000002</v>
      </c>
      <c r="P30" s="9" t="s">
        <v>99</v>
      </c>
      <c r="Q30" s="9">
        <v>1.3469</v>
      </c>
      <c r="R30" s="9">
        <v>228.89</v>
      </c>
      <c r="S30" s="9" t="s">
        <v>89</v>
      </c>
      <c r="T30" s="9" t="s">
        <v>157</v>
      </c>
      <c r="U30" s="9" t="b">
        <v>0</v>
      </c>
    </row>
    <row r="31" spans="1:21" x14ac:dyDescent="0.25">
      <c r="A31" s="9">
        <v>5045</v>
      </c>
      <c r="B31" s="9" t="s">
        <v>48</v>
      </c>
      <c r="C31" s="9" t="s">
        <v>49</v>
      </c>
      <c r="D31" s="9" t="s">
        <v>103</v>
      </c>
      <c r="E31" s="9">
        <v>2017</v>
      </c>
      <c r="F31" s="9">
        <v>2018</v>
      </c>
      <c r="G31" s="9">
        <v>1</v>
      </c>
      <c r="H31" s="9">
        <v>15722.06</v>
      </c>
      <c r="I31" s="9">
        <v>37331.57</v>
      </c>
      <c r="J31" s="9">
        <v>1.63</v>
      </c>
      <c r="K31" s="9">
        <v>69.739999999999995</v>
      </c>
      <c r="L31" s="9">
        <v>154.91999999999999</v>
      </c>
      <c r="M31" s="9">
        <v>53210.19</v>
      </c>
      <c r="N31" s="9">
        <v>29.55</v>
      </c>
      <c r="O31" s="9">
        <v>17473.419999999998</v>
      </c>
      <c r="P31" s="9" t="s">
        <v>102</v>
      </c>
      <c r="Q31" s="9">
        <v>0.88660000000000005</v>
      </c>
      <c r="R31" s="9">
        <v>153.28</v>
      </c>
      <c r="S31" s="9" t="s">
        <v>89</v>
      </c>
      <c r="T31" s="9" t="s">
        <v>157</v>
      </c>
      <c r="U31" s="9" t="b">
        <v>0</v>
      </c>
    </row>
    <row r="32" spans="1:21" x14ac:dyDescent="0.25">
      <c r="A32" s="9">
        <v>5045</v>
      </c>
      <c r="B32" s="9" t="s">
        <v>48</v>
      </c>
      <c r="C32" s="9" t="s">
        <v>49</v>
      </c>
      <c r="D32" s="9" t="s">
        <v>104</v>
      </c>
      <c r="E32" s="9">
        <v>2018</v>
      </c>
      <c r="F32" s="9">
        <v>2019</v>
      </c>
      <c r="G32" s="9">
        <v>1</v>
      </c>
      <c r="H32" s="9"/>
      <c r="I32" s="9"/>
      <c r="J32" s="9"/>
      <c r="K32" s="9"/>
      <c r="L32" s="9">
        <v>97.73</v>
      </c>
      <c r="M32" s="9"/>
      <c r="N32" s="9"/>
      <c r="O32" s="9">
        <v>15722.06</v>
      </c>
      <c r="P32" s="9" t="s">
        <v>103</v>
      </c>
      <c r="Q32" s="9">
        <v>0.62160000000000004</v>
      </c>
      <c r="R32" s="9">
        <v>97.73</v>
      </c>
      <c r="S32" s="9" t="s">
        <v>105</v>
      </c>
      <c r="T32" s="9" t="s">
        <v>158</v>
      </c>
      <c r="U32" s="9" t="b">
        <v>1</v>
      </c>
    </row>
    <row r="33" spans="1:21" x14ac:dyDescent="0.25">
      <c r="A33" s="9">
        <v>5045</v>
      </c>
      <c r="B33" s="9" t="s">
        <v>48</v>
      </c>
      <c r="C33" s="9" t="s">
        <v>49</v>
      </c>
      <c r="D33" s="9" t="s">
        <v>106</v>
      </c>
      <c r="E33" s="9">
        <v>2019</v>
      </c>
      <c r="F33" s="9">
        <v>2020</v>
      </c>
      <c r="G33" s="9">
        <v>1</v>
      </c>
      <c r="H33" s="9">
        <v>15600.86</v>
      </c>
      <c r="I33" s="9">
        <v>37638.29</v>
      </c>
      <c r="J33" s="9"/>
      <c r="K33" s="9">
        <v>0.91</v>
      </c>
      <c r="L33" s="9">
        <v>40.54</v>
      </c>
      <c r="M33" s="9">
        <v>53279.69</v>
      </c>
      <c r="N33" s="9">
        <v>29.28</v>
      </c>
      <c r="O33" s="9">
        <v>15722.06</v>
      </c>
      <c r="P33" s="9" t="s">
        <v>103</v>
      </c>
      <c r="Q33" s="9">
        <v>0.25790000000000002</v>
      </c>
      <c r="R33" s="9">
        <v>40.54</v>
      </c>
      <c r="S33" s="9" t="s">
        <v>89</v>
      </c>
      <c r="T33" s="9" t="s">
        <v>157</v>
      </c>
      <c r="U33" s="9" t="b">
        <v>0</v>
      </c>
    </row>
    <row r="34" spans="1:21" x14ac:dyDescent="0.25">
      <c r="A34" s="9">
        <v>5045</v>
      </c>
      <c r="B34" s="9" t="s">
        <v>48</v>
      </c>
      <c r="C34" s="9" t="s">
        <v>49</v>
      </c>
      <c r="D34" s="9" t="s">
        <v>107</v>
      </c>
      <c r="E34" s="9">
        <v>2020</v>
      </c>
      <c r="F34" s="9">
        <v>2021</v>
      </c>
      <c r="G34" s="9">
        <v>1</v>
      </c>
      <c r="H34" s="9">
        <v>15554.68</v>
      </c>
      <c r="I34" s="9">
        <v>37677.1</v>
      </c>
      <c r="J34" s="9"/>
      <c r="K34" s="9">
        <v>14.02</v>
      </c>
      <c r="L34" s="9">
        <v>34.799999999999997</v>
      </c>
      <c r="M34" s="9">
        <v>53266.59</v>
      </c>
      <c r="N34" s="9">
        <v>29.2</v>
      </c>
      <c r="O34" s="9">
        <v>15600.86</v>
      </c>
      <c r="P34" s="9" t="s">
        <v>106</v>
      </c>
      <c r="Q34" s="9">
        <v>0.22309999999999999</v>
      </c>
      <c r="R34" s="9">
        <v>34.799999999999997</v>
      </c>
      <c r="S34" s="9" t="s">
        <v>89</v>
      </c>
      <c r="T34" s="9" t="s">
        <v>157</v>
      </c>
      <c r="U34" s="9" t="b">
        <v>0</v>
      </c>
    </row>
    <row r="35" spans="1:21" x14ac:dyDescent="0.25">
      <c r="A35" s="9">
        <v>5045</v>
      </c>
      <c r="B35" s="9" t="s">
        <v>48</v>
      </c>
      <c r="C35" s="9" t="s">
        <v>49</v>
      </c>
      <c r="D35" s="9" t="s">
        <v>108</v>
      </c>
      <c r="E35" s="9">
        <v>2021</v>
      </c>
      <c r="F35" s="9">
        <v>2022</v>
      </c>
      <c r="G35" s="9">
        <v>1</v>
      </c>
      <c r="H35" s="9">
        <v>15379.16</v>
      </c>
      <c r="I35" s="9">
        <v>37740.519999999997</v>
      </c>
      <c r="J35" s="9"/>
      <c r="K35" s="9">
        <v>39.64</v>
      </c>
      <c r="L35" s="9">
        <v>121.26</v>
      </c>
      <c r="M35" s="9">
        <v>53240.95</v>
      </c>
      <c r="N35" s="9">
        <v>28.89</v>
      </c>
      <c r="O35" s="9">
        <v>15554.68</v>
      </c>
      <c r="P35" s="9" t="s">
        <v>107</v>
      </c>
      <c r="Q35" s="9">
        <v>0.77959999999999996</v>
      </c>
      <c r="R35" s="9">
        <v>121.26</v>
      </c>
      <c r="S35" s="9" t="s">
        <v>89</v>
      </c>
      <c r="T35" s="9" t="s">
        <v>157</v>
      </c>
      <c r="U35" s="9" t="b">
        <v>0</v>
      </c>
    </row>
    <row r="36" spans="1:21" x14ac:dyDescent="0.25">
      <c r="A36" s="9">
        <v>5045</v>
      </c>
      <c r="B36" s="9" t="s">
        <v>48</v>
      </c>
      <c r="C36" s="9" t="s">
        <v>49</v>
      </c>
      <c r="D36" s="9" t="s">
        <v>109</v>
      </c>
      <c r="E36" s="9">
        <v>2022</v>
      </c>
      <c r="F36" s="9">
        <v>2023</v>
      </c>
      <c r="G36" s="9">
        <v>1</v>
      </c>
      <c r="H36" s="9">
        <v>15029.81</v>
      </c>
      <c r="I36" s="9">
        <v>38204.769999999997</v>
      </c>
      <c r="J36" s="9"/>
      <c r="K36" s="9"/>
      <c r="L36" s="9">
        <v>45.93</v>
      </c>
      <c r="M36" s="9">
        <v>53280.51</v>
      </c>
      <c r="N36" s="9">
        <v>28.21</v>
      </c>
      <c r="O36" s="9">
        <v>15379.16</v>
      </c>
      <c r="P36" s="9" t="s">
        <v>108</v>
      </c>
      <c r="Q36" s="9">
        <v>0.29859999999999998</v>
      </c>
      <c r="R36" s="9">
        <v>45.93</v>
      </c>
      <c r="S36" s="9" t="s">
        <v>89</v>
      </c>
      <c r="T36" s="9" t="s">
        <v>157</v>
      </c>
      <c r="U36" s="9" t="b">
        <v>0</v>
      </c>
    </row>
    <row r="37" spans="1:21" x14ac:dyDescent="0.25">
      <c r="A37" s="9">
        <v>5045</v>
      </c>
      <c r="B37" s="9" t="s">
        <v>48</v>
      </c>
      <c r="C37" s="9" t="s">
        <v>49</v>
      </c>
      <c r="D37" s="9" t="s">
        <v>110</v>
      </c>
      <c r="E37" s="9">
        <v>2023</v>
      </c>
      <c r="F37" s="9">
        <v>2024</v>
      </c>
      <c r="G37" s="9">
        <v>1</v>
      </c>
      <c r="H37" s="9"/>
      <c r="I37" s="9"/>
      <c r="J37" s="9"/>
      <c r="K37" s="9"/>
      <c r="L37" s="9">
        <v>78.45</v>
      </c>
      <c r="M37" s="9"/>
      <c r="N37" s="9"/>
      <c r="O37" s="9">
        <v>15029.81</v>
      </c>
      <c r="P37" s="9" t="s">
        <v>109</v>
      </c>
      <c r="Q37" s="9">
        <v>0.52200000000000002</v>
      </c>
      <c r="R37" s="9">
        <v>78.45</v>
      </c>
      <c r="S37" s="9" t="s">
        <v>105</v>
      </c>
      <c r="T37" s="9" t="s">
        <v>158</v>
      </c>
      <c r="U37" s="9" t="b">
        <v>1</v>
      </c>
    </row>
    <row r="38" spans="1:21" x14ac:dyDescent="0.25">
      <c r="A38" s="9">
        <v>5051</v>
      </c>
      <c r="B38" s="9" t="s">
        <v>52</v>
      </c>
      <c r="C38" s="9" t="s">
        <v>53</v>
      </c>
      <c r="D38" s="9" t="s">
        <v>41</v>
      </c>
      <c r="E38" s="9">
        <v>2000</v>
      </c>
      <c r="F38" s="9">
        <v>2002</v>
      </c>
      <c r="G38" s="9">
        <v>2</v>
      </c>
      <c r="H38" s="9">
        <v>1237.9100000000001</v>
      </c>
      <c r="I38" s="9">
        <v>72954.649999999994</v>
      </c>
      <c r="J38" s="9"/>
      <c r="K38" s="9">
        <v>0.75</v>
      </c>
      <c r="L38" s="9">
        <v>2.68</v>
      </c>
      <c r="M38" s="9">
        <v>74195.240000000005</v>
      </c>
      <c r="N38" s="9">
        <v>1.67</v>
      </c>
      <c r="O38" s="9"/>
      <c r="P38" s="9"/>
      <c r="Q38" s="9"/>
      <c r="R38" s="9">
        <v>2.68</v>
      </c>
      <c r="S38" s="9" t="s">
        <v>43</v>
      </c>
      <c r="T38" s="9" t="s">
        <v>156</v>
      </c>
      <c r="U38" s="9" t="b">
        <v>0</v>
      </c>
    </row>
    <row r="39" spans="1:21" x14ac:dyDescent="0.25">
      <c r="A39" s="9">
        <v>5051</v>
      </c>
      <c r="B39" s="9" t="s">
        <v>52</v>
      </c>
      <c r="C39" s="9" t="s">
        <v>53</v>
      </c>
      <c r="D39" s="9" t="s">
        <v>88</v>
      </c>
      <c r="E39" s="9">
        <v>2002</v>
      </c>
      <c r="F39" s="9">
        <v>2004</v>
      </c>
      <c r="G39" s="9">
        <v>2</v>
      </c>
      <c r="H39" s="9">
        <v>1227.54</v>
      </c>
      <c r="I39" s="9">
        <v>72830.89</v>
      </c>
      <c r="J39" s="9"/>
      <c r="K39" s="9"/>
      <c r="L39" s="9">
        <v>6.56</v>
      </c>
      <c r="M39" s="9">
        <v>74064.990000000005</v>
      </c>
      <c r="N39" s="9">
        <v>1.66</v>
      </c>
      <c r="O39" s="9">
        <v>1237.9100000000001</v>
      </c>
      <c r="P39" s="9" t="s">
        <v>41</v>
      </c>
      <c r="Q39" s="9">
        <v>0.26490000000000002</v>
      </c>
      <c r="R39" s="9">
        <v>6.56</v>
      </c>
      <c r="S39" s="9" t="s">
        <v>89</v>
      </c>
      <c r="T39" s="9" t="s">
        <v>157</v>
      </c>
      <c r="U39" s="9" t="b">
        <v>0</v>
      </c>
    </row>
    <row r="40" spans="1:21" x14ac:dyDescent="0.25">
      <c r="A40" s="9">
        <v>5051</v>
      </c>
      <c r="B40" s="9" t="s">
        <v>52</v>
      </c>
      <c r="C40" s="9" t="s">
        <v>53</v>
      </c>
      <c r="D40" s="9" t="s">
        <v>90</v>
      </c>
      <c r="E40" s="9">
        <v>2004</v>
      </c>
      <c r="F40" s="9">
        <v>2006</v>
      </c>
      <c r="G40" s="9">
        <v>2</v>
      </c>
      <c r="H40" s="9">
        <v>1067.58</v>
      </c>
      <c r="I40" s="9">
        <v>72821.66</v>
      </c>
      <c r="J40" s="9">
        <v>19.05</v>
      </c>
      <c r="K40" s="9"/>
      <c r="L40" s="9">
        <v>156.71</v>
      </c>
      <c r="M40" s="9">
        <v>74064.990000000005</v>
      </c>
      <c r="N40" s="9">
        <v>1.44</v>
      </c>
      <c r="O40" s="9">
        <v>1227.54</v>
      </c>
      <c r="P40" s="9" t="s">
        <v>88</v>
      </c>
      <c r="Q40" s="9">
        <v>6.3829000000000002</v>
      </c>
      <c r="R40" s="9">
        <v>137.66</v>
      </c>
      <c r="S40" s="9" t="s">
        <v>89</v>
      </c>
      <c r="T40" s="9" t="s">
        <v>157</v>
      </c>
      <c r="U40" s="9" t="b">
        <v>0</v>
      </c>
    </row>
    <row r="41" spans="1:21" x14ac:dyDescent="0.25">
      <c r="A41" s="9">
        <v>5051</v>
      </c>
      <c r="B41" s="9" t="s">
        <v>52</v>
      </c>
      <c r="C41" s="9" t="s">
        <v>53</v>
      </c>
      <c r="D41" s="9" t="s">
        <v>91</v>
      </c>
      <c r="E41" s="9">
        <v>2006</v>
      </c>
      <c r="F41" s="9">
        <v>2008</v>
      </c>
      <c r="G41" s="9">
        <v>2</v>
      </c>
      <c r="H41" s="9">
        <v>984.1</v>
      </c>
      <c r="I41" s="9">
        <v>72998.350000000006</v>
      </c>
      <c r="J41" s="9"/>
      <c r="K41" s="9"/>
      <c r="L41" s="9">
        <v>82.77</v>
      </c>
      <c r="M41" s="9">
        <v>74065.22</v>
      </c>
      <c r="N41" s="9">
        <v>1.33</v>
      </c>
      <c r="O41" s="9">
        <v>1067.58</v>
      </c>
      <c r="P41" s="9" t="s">
        <v>90</v>
      </c>
      <c r="Q41" s="9">
        <v>3.8763000000000001</v>
      </c>
      <c r="R41" s="9">
        <v>82.77</v>
      </c>
      <c r="S41" s="9" t="s">
        <v>89</v>
      </c>
      <c r="T41" s="9" t="s">
        <v>157</v>
      </c>
      <c r="U41" s="9" t="b">
        <v>0</v>
      </c>
    </row>
    <row r="42" spans="1:21" x14ac:dyDescent="0.25">
      <c r="A42" s="9">
        <v>5051</v>
      </c>
      <c r="B42" s="9" t="s">
        <v>52</v>
      </c>
      <c r="C42" s="9" t="s">
        <v>53</v>
      </c>
      <c r="D42" s="9" t="s">
        <v>92</v>
      </c>
      <c r="E42" s="9">
        <v>2008</v>
      </c>
      <c r="F42" s="9">
        <v>2010</v>
      </c>
      <c r="G42" s="9">
        <v>2</v>
      </c>
      <c r="H42" s="9">
        <v>955.42</v>
      </c>
      <c r="I42" s="9">
        <v>73086.2</v>
      </c>
      <c r="J42" s="9"/>
      <c r="K42" s="9"/>
      <c r="L42" s="9">
        <v>23.54</v>
      </c>
      <c r="M42" s="9">
        <v>74065.149999999994</v>
      </c>
      <c r="N42" s="9">
        <v>1.29</v>
      </c>
      <c r="O42" s="9">
        <v>984.1</v>
      </c>
      <c r="P42" s="9" t="s">
        <v>91</v>
      </c>
      <c r="Q42" s="9">
        <v>1.1959</v>
      </c>
      <c r="R42" s="9">
        <v>23.54</v>
      </c>
      <c r="S42" s="9" t="s">
        <v>89</v>
      </c>
      <c r="T42" s="9" t="s">
        <v>157</v>
      </c>
      <c r="U42" s="9" t="b">
        <v>0</v>
      </c>
    </row>
    <row r="43" spans="1:21" x14ac:dyDescent="0.25">
      <c r="A43" s="9">
        <v>5051</v>
      </c>
      <c r="B43" s="9" t="s">
        <v>52</v>
      </c>
      <c r="C43" s="9" t="s">
        <v>53</v>
      </c>
      <c r="D43" s="9" t="s">
        <v>93</v>
      </c>
      <c r="E43" s="9">
        <v>2010</v>
      </c>
      <c r="F43" s="9">
        <v>2012</v>
      </c>
      <c r="G43" s="9">
        <v>2</v>
      </c>
      <c r="H43" s="9"/>
      <c r="I43" s="9"/>
      <c r="J43" s="9"/>
      <c r="K43" s="9"/>
      <c r="L43" s="9">
        <v>31.85</v>
      </c>
      <c r="M43" s="9"/>
      <c r="N43" s="9"/>
      <c r="O43" s="9">
        <v>955.42</v>
      </c>
      <c r="P43" s="9" t="s">
        <v>92</v>
      </c>
      <c r="Q43" s="9">
        <v>1.6668000000000001</v>
      </c>
      <c r="R43" s="9">
        <v>31.85</v>
      </c>
      <c r="S43" s="9" t="s">
        <v>94</v>
      </c>
      <c r="T43" s="9" t="s">
        <v>158</v>
      </c>
      <c r="U43" s="9" t="b">
        <v>1</v>
      </c>
    </row>
    <row r="44" spans="1:21" x14ac:dyDescent="0.25">
      <c r="A44" s="9">
        <v>5051</v>
      </c>
      <c r="B44" s="9" t="s">
        <v>52</v>
      </c>
      <c r="C44" s="9" t="s">
        <v>53</v>
      </c>
      <c r="D44" s="9" t="s">
        <v>96</v>
      </c>
      <c r="E44" s="9">
        <v>2012</v>
      </c>
      <c r="F44" s="9">
        <v>2013</v>
      </c>
      <c r="G44" s="9">
        <v>1</v>
      </c>
      <c r="H44" s="9">
        <v>783.81</v>
      </c>
      <c r="I44" s="9">
        <v>73299.740000000005</v>
      </c>
      <c r="J44" s="9"/>
      <c r="K44" s="9">
        <v>10.6</v>
      </c>
      <c r="L44" s="9">
        <v>26.21</v>
      </c>
      <c r="M44" s="9">
        <v>74109.77</v>
      </c>
      <c r="N44" s="9">
        <v>1.06</v>
      </c>
      <c r="O44" s="9">
        <v>955.42</v>
      </c>
      <c r="P44" s="9" t="s">
        <v>92</v>
      </c>
      <c r="Q44" s="9">
        <v>2.7437</v>
      </c>
      <c r="R44" s="9">
        <v>26.21</v>
      </c>
      <c r="S44" s="9" t="s">
        <v>97</v>
      </c>
      <c r="T44" s="9" t="s">
        <v>159</v>
      </c>
      <c r="U44" s="9" t="b">
        <v>0</v>
      </c>
    </row>
    <row r="45" spans="1:21" x14ac:dyDescent="0.25">
      <c r="A45" s="9">
        <v>5051</v>
      </c>
      <c r="B45" s="9" t="s">
        <v>52</v>
      </c>
      <c r="C45" s="9" t="s">
        <v>53</v>
      </c>
      <c r="D45" s="9" t="s">
        <v>98</v>
      </c>
      <c r="E45" s="9">
        <v>2013</v>
      </c>
      <c r="F45" s="9">
        <v>2014</v>
      </c>
      <c r="G45" s="9">
        <v>1</v>
      </c>
      <c r="H45" s="9">
        <v>762.69</v>
      </c>
      <c r="I45" s="9">
        <v>73405.539999999994</v>
      </c>
      <c r="J45" s="9"/>
      <c r="K45" s="9">
        <v>7.68</v>
      </c>
      <c r="L45" s="9">
        <v>1.53</v>
      </c>
      <c r="M45" s="9">
        <v>74169.77</v>
      </c>
      <c r="N45" s="9">
        <v>1.03</v>
      </c>
      <c r="O45" s="9">
        <v>783.81</v>
      </c>
      <c r="P45" s="9" t="s">
        <v>96</v>
      </c>
      <c r="Q45" s="9">
        <v>0.19570000000000001</v>
      </c>
      <c r="R45" s="9">
        <v>1.53</v>
      </c>
      <c r="S45" s="9" t="s">
        <v>89</v>
      </c>
      <c r="T45" s="9" t="s">
        <v>157</v>
      </c>
      <c r="U45" s="9" t="b">
        <v>0</v>
      </c>
    </row>
    <row r="46" spans="1:21" x14ac:dyDescent="0.25">
      <c r="A46" s="9">
        <v>5051</v>
      </c>
      <c r="B46" s="9" t="s">
        <v>52</v>
      </c>
      <c r="C46" s="9" t="s">
        <v>53</v>
      </c>
      <c r="D46" s="9" t="s">
        <v>99</v>
      </c>
      <c r="E46" s="9">
        <v>2014</v>
      </c>
      <c r="F46" s="9">
        <v>2015</v>
      </c>
      <c r="G46" s="9">
        <v>1</v>
      </c>
      <c r="H46" s="9">
        <v>771.44</v>
      </c>
      <c r="I46" s="9">
        <v>73284.490000000005</v>
      </c>
      <c r="J46" s="9"/>
      <c r="K46" s="9"/>
      <c r="L46" s="9"/>
      <c r="M46" s="9">
        <v>74055.929999999993</v>
      </c>
      <c r="N46" s="9">
        <v>1.04</v>
      </c>
      <c r="O46" s="9">
        <v>762.69</v>
      </c>
      <c r="P46" s="9" t="s">
        <v>98</v>
      </c>
      <c r="Q46" s="9"/>
      <c r="R46" s="9">
        <v>0</v>
      </c>
      <c r="S46" s="9" t="s">
        <v>43</v>
      </c>
      <c r="T46" s="9" t="s">
        <v>156</v>
      </c>
      <c r="U46" s="9" t="b">
        <v>0</v>
      </c>
    </row>
    <row r="47" spans="1:21" x14ac:dyDescent="0.25">
      <c r="A47" s="9">
        <v>5051</v>
      </c>
      <c r="B47" s="9" t="s">
        <v>52</v>
      </c>
      <c r="C47" s="9" t="s">
        <v>53</v>
      </c>
      <c r="D47" s="9" t="s">
        <v>100</v>
      </c>
      <c r="E47" s="9">
        <v>2015</v>
      </c>
      <c r="F47" s="9">
        <v>2016</v>
      </c>
      <c r="G47" s="9">
        <v>1</v>
      </c>
      <c r="H47" s="9"/>
      <c r="I47" s="9"/>
      <c r="J47" s="9"/>
      <c r="K47" s="9"/>
      <c r="L47" s="9">
        <v>4.03</v>
      </c>
      <c r="M47" s="9"/>
      <c r="N47" s="9"/>
      <c r="O47" s="9">
        <v>771.44</v>
      </c>
      <c r="P47" s="9" t="s">
        <v>99</v>
      </c>
      <c r="Q47" s="9">
        <v>0.52239999999999998</v>
      </c>
      <c r="R47" s="9">
        <v>4.03</v>
      </c>
      <c r="S47" s="9" t="s">
        <v>160</v>
      </c>
      <c r="T47" s="9" t="s">
        <v>158</v>
      </c>
      <c r="U47" s="9" t="b">
        <v>1</v>
      </c>
    </row>
    <row r="48" spans="1:21" x14ac:dyDescent="0.25">
      <c r="A48" s="9">
        <v>5051</v>
      </c>
      <c r="B48" s="9" t="s">
        <v>52</v>
      </c>
      <c r="C48" s="9" t="s">
        <v>53</v>
      </c>
      <c r="D48" s="9" t="s">
        <v>102</v>
      </c>
      <c r="E48" s="9">
        <v>2016</v>
      </c>
      <c r="F48" s="9">
        <v>2017</v>
      </c>
      <c r="G48" s="9">
        <v>1</v>
      </c>
      <c r="H48" s="9">
        <v>675.21</v>
      </c>
      <c r="I48" s="9">
        <v>73316.17</v>
      </c>
      <c r="J48" s="9">
        <v>57.47</v>
      </c>
      <c r="K48" s="9">
        <v>0.77</v>
      </c>
      <c r="L48" s="9">
        <v>16.13</v>
      </c>
      <c r="M48" s="9">
        <v>74064.98</v>
      </c>
      <c r="N48" s="9">
        <v>0.91</v>
      </c>
      <c r="O48" s="9">
        <v>771.44</v>
      </c>
      <c r="P48" s="9" t="s">
        <v>99</v>
      </c>
      <c r="Q48" s="9">
        <v>2.0914000000000001</v>
      </c>
      <c r="R48" s="9">
        <v>-41.33</v>
      </c>
      <c r="S48" s="9" t="s">
        <v>89</v>
      </c>
      <c r="T48" s="9" t="s">
        <v>157</v>
      </c>
      <c r="U48" s="9" t="b">
        <v>0</v>
      </c>
    </row>
    <row r="49" spans="1:21" x14ac:dyDescent="0.25">
      <c r="A49" s="9">
        <v>5051</v>
      </c>
      <c r="B49" s="9" t="s">
        <v>52</v>
      </c>
      <c r="C49" s="9" t="s">
        <v>53</v>
      </c>
      <c r="D49" s="9" t="s">
        <v>103</v>
      </c>
      <c r="E49" s="9">
        <v>2017</v>
      </c>
      <c r="F49" s="9">
        <v>2018</v>
      </c>
      <c r="G49" s="9">
        <v>1</v>
      </c>
      <c r="H49" s="9">
        <v>2054.89</v>
      </c>
      <c r="I49" s="9">
        <v>71854.77</v>
      </c>
      <c r="J49" s="9">
        <v>5.53</v>
      </c>
      <c r="K49" s="9">
        <v>149.97999999999999</v>
      </c>
      <c r="L49" s="9"/>
      <c r="M49" s="9">
        <v>73915.179999999993</v>
      </c>
      <c r="N49" s="9">
        <v>2.78</v>
      </c>
      <c r="O49" s="9">
        <v>675.21</v>
      </c>
      <c r="P49" s="9" t="s">
        <v>102</v>
      </c>
      <c r="Q49" s="9"/>
      <c r="R49" s="9">
        <v>-5.53</v>
      </c>
      <c r="S49" s="9" t="s">
        <v>89</v>
      </c>
      <c r="T49" s="9" t="s">
        <v>157</v>
      </c>
      <c r="U49" s="9" t="b">
        <v>0</v>
      </c>
    </row>
    <row r="50" spans="1:21" x14ac:dyDescent="0.25">
      <c r="A50" s="9">
        <v>5051</v>
      </c>
      <c r="B50" s="9" t="s">
        <v>52</v>
      </c>
      <c r="C50" s="9" t="s">
        <v>53</v>
      </c>
      <c r="D50" s="9" t="s">
        <v>104</v>
      </c>
      <c r="E50" s="9">
        <v>2018</v>
      </c>
      <c r="F50" s="9">
        <v>2019</v>
      </c>
      <c r="G50" s="9">
        <v>1</v>
      </c>
      <c r="H50" s="9"/>
      <c r="I50" s="9"/>
      <c r="J50" s="9"/>
      <c r="K50" s="9"/>
      <c r="L50" s="9">
        <v>10.53</v>
      </c>
      <c r="M50" s="9"/>
      <c r="N50" s="9"/>
      <c r="O50" s="9">
        <v>2054.89</v>
      </c>
      <c r="P50" s="9" t="s">
        <v>103</v>
      </c>
      <c r="Q50" s="9">
        <v>0.51239999999999997</v>
      </c>
      <c r="R50" s="9">
        <v>10.53</v>
      </c>
      <c r="S50" s="9" t="s">
        <v>105</v>
      </c>
      <c r="T50" s="9" t="s">
        <v>158</v>
      </c>
      <c r="U50" s="9" t="b">
        <v>1</v>
      </c>
    </row>
    <row r="51" spans="1:21" x14ac:dyDescent="0.25">
      <c r="A51" s="9">
        <v>5051</v>
      </c>
      <c r="B51" s="9" t="s">
        <v>52</v>
      </c>
      <c r="C51" s="9" t="s">
        <v>53</v>
      </c>
      <c r="D51" s="9" t="s">
        <v>106</v>
      </c>
      <c r="E51" s="9">
        <v>2019</v>
      </c>
      <c r="F51" s="9">
        <v>2020</v>
      </c>
      <c r="G51" s="9">
        <v>1</v>
      </c>
      <c r="H51" s="9">
        <v>1933.76</v>
      </c>
      <c r="I51" s="9">
        <v>72080.13</v>
      </c>
      <c r="J51" s="9"/>
      <c r="K51" s="9">
        <v>45.72</v>
      </c>
      <c r="L51" s="9">
        <v>4.92</v>
      </c>
      <c r="M51" s="9">
        <v>74018.8</v>
      </c>
      <c r="N51" s="9">
        <v>2.61</v>
      </c>
      <c r="O51" s="9">
        <v>2054.89</v>
      </c>
      <c r="P51" s="9" t="s">
        <v>103</v>
      </c>
      <c r="Q51" s="9">
        <v>0.2394</v>
      </c>
      <c r="R51" s="9">
        <v>4.92</v>
      </c>
      <c r="S51" s="9" t="s">
        <v>89</v>
      </c>
      <c r="T51" s="9" t="s">
        <v>157</v>
      </c>
      <c r="U51" s="9" t="b">
        <v>0</v>
      </c>
    </row>
    <row r="52" spans="1:21" x14ac:dyDescent="0.25">
      <c r="A52" s="9">
        <v>5051</v>
      </c>
      <c r="B52" s="9" t="s">
        <v>52</v>
      </c>
      <c r="C52" s="9" t="s">
        <v>53</v>
      </c>
      <c r="D52" s="9" t="s">
        <v>107</v>
      </c>
      <c r="E52" s="9">
        <v>2020</v>
      </c>
      <c r="F52" s="9">
        <v>2021</v>
      </c>
      <c r="G52" s="9">
        <v>1</v>
      </c>
      <c r="H52" s="9">
        <v>1909.35</v>
      </c>
      <c r="I52" s="9">
        <v>72114.759999999995</v>
      </c>
      <c r="J52" s="9"/>
      <c r="K52" s="9">
        <v>0.06</v>
      </c>
      <c r="L52" s="9">
        <v>40.89</v>
      </c>
      <c r="M52" s="9">
        <v>74064.990000000005</v>
      </c>
      <c r="N52" s="9">
        <v>2.58</v>
      </c>
      <c r="O52" s="9">
        <v>1933.76</v>
      </c>
      <c r="P52" s="9" t="s">
        <v>106</v>
      </c>
      <c r="Q52" s="9">
        <v>2.1145999999999998</v>
      </c>
      <c r="R52" s="9">
        <v>40.89</v>
      </c>
      <c r="S52" s="9" t="s">
        <v>89</v>
      </c>
      <c r="T52" s="9" t="s">
        <v>157</v>
      </c>
      <c r="U52" s="9" t="b">
        <v>0</v>
      </c>
    </row>
    <row r="53" spans="1:21" x14ac:dyDescent="0.25">
      <c r="A53" s="9">
        <v>5051</v>
      </c>
      <c r="B53" s="9" t="s">
        <v>52</v>
      </c>
      <c r="C53" s="9" t="s">
        <v>53</v>
      </c>
      <c r="D53" s="9" t="s">
        <v>108</v>
      </c>
      <c r="E53" s="9">
        <v>2021</v>
      </c>
      <c r="F53" s="9">
        <v>2022</v>
      </c>
      <c r="G53" s="9">
        <v>1</v>
      </c>
      <c r="H53" s="9">
        <v>1886.61</v>
      </c>
      <c r="I53" s="9">
        <v>72161.95</v>
      </c>
      <c r="J53" s="9"/>
      <c r="K53" s="9">
        <v>1.95</v>
      </c>
      <c r="L53" s="9">
        <v>14.58</v>
      </c>
      <c r="M53" s="9">
        <v>74063.149999999994</v>
      </c>
      <c r="N53" s="9">
        <v>2.5499999999999998</v>
      </c>
      <c r="O53" s="9">
        <v>1909.35</v>
      </c>
      <c r="P53" s="9" t="s">
        <v>107</v>
      </c>
      <c r="Q53" s="9">
        <v>0.76380000000000003</v>
      </c>
      <c r="R53" s="9">
        <v>14.58</v>
      </c>
      <c r="S53" s="9" t="s">
        <v>89</v>
      </c>
      <c r="T53" s="9" t="s">
        <v>157</v>
      </c>
      <c r="U53" s="9" t="b">
        <v>0</v>
      </c>
    </row>
    <row r="54" spans="1:21" x14ac:dyDescent="0.25">
      <c r="A54" s="9">
        <v>5051</v>
      </c>
      <c r="B54" s="9" t="s">
        <v>52</v>
      </c>
      <c r="C54" s="9" t="s">
        <v>53</v>
      </c>
      <c r="D54" s="9" t="s">
        <v>109</v>
      </c>
      <c r="E54" s="9">
        <v>2022</v>
      </c>
      <c r="F54" s="9">
        <v>2023</v>
      </c>
      <c r="G54" s="9">
        <v>1</v>
      </c>
      <c r="H54" s="9">
        <v>1711.81</v>
      </c>
      <c r="I54" s="9">
        <v>72295.33</v>
      </c>
      <c r="J54" s="9"/>
      <c r="K54" s="9">
        <v>0.19</v>
      </c>
      <c r="L54" s="9">
        <v>58.66</v>
      </c>
      <c r="M54" s="9">
        <v>74065.81</v>
      </c>
      <c r="N54" s="9">
        <v>2.31</v>
      </c>
      <c r="O54" s="9">
        <v>1886.61</v>
      </c>
      <c r="P54" s="9" t="s">
        <v>108</v>
      </c>
      <c r="Q54" s="9">
        <v>3.1095000000000002</v>
      </c>
      <c r="R54" s="9">
        <v>58.66</v>
      </c>
      <c r="S54" s="9" t="s">
        <v>89</v>
      </c>
      <c r="T54" s="9" t="s">
        <v>157</v>
      </c>
      <c r="U54" s="9" t="b">
        <v>0</v>
      </c>
    </row>
    <row r="55" spans="1:21" x14ac:dyDescent="0.25">
      <c r="A55" s="9">
        <v>5051</v>
      </c>
      <c r="B55" s="9" t="s">
        <v>52</v>
      </c>
      <c r="C55" s="9" t="s">
        <v>53</v>
      </c>
      <c r="D55" s="9" t="s">
        <v>110</v>
      </c>
      <c r="E55" s="9">
        <v>2023</v>
      </c>
      <c r="F55" s="9">
        <v>2024</v>
      </c>
      <c r="G55" s="9">
        <v>1</v>
      </c>
      <c r="H55" s="9"/>
      <c r="I55" s="9"/>
      <c r="J55" s="9"/>
      <c r="K55" s="9"/>
      <c r="L55" s="9">
        <v>55.82</v>
      </c>
      <c r="M55" s="9"/>
      <c r="N55" s="9"/>
      <c r="O55" s="9">
        <v>1711.81</v>
      </c>
      <c r="P55" s="9" t="s">
        <v>109</v>
      </c>
      <c r="Q55" s="9">
        <v>3.2608999999999999</v>
      </c>
      <c r="R55" s="9">
        <v>55.82</v>
      </c>
      <c r="S55" s="9" t="s">
        <v>105</v>
      </c>
      <c r="T55" s="9" t="s">
        <v>158</v>
      </c>
      <c r="U55" s="9" t="b">
        <v>1</v>
      </c>
    </row>
    <row r="56" spans="1:21" x14ac:dyDescent="0.25">
      <c r="A56" s="9">
        <v>5147</v>
      </c>
      <c r="B56" s="9" t="s">
        <v>55</v>
      </c>
      <c r="C56" s="9" t="s">
        <v>49</v>
      </c>
      <c r="D56" s="9" t="s">
        <v>41</v>
      </c>
      <c r="E56" s="9">
        <v>2000</v>
      </c>
      <c r="F56" s="9">
        <v>2002</v>
      </c>
      <c r="G56" s="9">
        <v>2</v>
      </c>
      <c r="H56" s="9">
        <v>6956.56</v>
      </c>
      <c r="I56" s="9">
        <v>31371.94</v>
      </c>
      <c r="J56" s="9"/>
      <c r="K56" s="9">
        <v>106.36</v>
      </c>
      <c r="L56" s="9">
        <v>19.71</v>
      </c>
      <c r="M56" s="9">
        <v>38348.21</v>
      </c>
      <c r="N56" s="9">
        <v>18.14</v>
      </c>
      <c r="O56" s="9"/>
      <c r="P56" s="9"/>
      <c r="Q56" s="9"/>
      <c r="R56" s="9">
        <v>19.71</v>
      </c>
      <c r="S56" s="9" t="s">
        <v>43</v>
      </c>
      <c r="T56" s="9" t="s">
        <v>156</v>
      </c>
      <c r="U56" s="9" t="b">
        <v>0</v>
      </c>
    </row>
    <row r="57" spans="1:21" x14ac:dyDescent="0.25">
      <c r="A57" s="9">
        <v>5147</v>
      </c>
      <c r="B57" s="9" t="s">
        <v>55</v>
      </c>
      <c r="C57" s="9" t="s">
        <v>49</v>
      </c>
      <c r="D57" s="9" t="s">
        <v>88</v>
      </c>
      <c r="E57" s="9">
        <v>2002</v>
      </c>
      <c r="F57" s="9">
        <v>2004</v>
      </c>
      <c r="G57" s="9">
        <v>2</v>
      </c>
      <c r="H57" s="9">
        <v>6617.23</v>
      </c>
      <c r="I57" s="9">
        <v>31349.200000000001</v>
      </c>
      <c r="J57" s="9"/>
      <c r="K57" s="9">
        <v>127.79</v>
      </c>
      <c r="L57" s="9">
        <v>269.2</v>
      </c>
      <c r="M57" s="9">
        <v>38235.620000000003</v>
      </c>
      <c r="N57" s="9">
        <v>17.309999999999999</v>
      </c>
      <c r="O57" s="9">
        <v>6956.56</v>
      </c>
      <c r="P57" s="9" t="s">
        <v>41</v>
      </c>
      <c r="Q57" s="9">
        <v>1.9348000000000001</v>
      </c>
      <c r="R57" s="9">
        <v>269.2</v>
      </c>
      <c r="S57" s="9" t="s">
        <v>89</v>
      </c>
      <c r="T57" s="9" t="s">
        <v>157</v>
      </c>
      <c r="U57" s="9" t="b">
        <v>0</v>
      </c>
    </row>
    <row r="58" spans="1:21" x14ac:dyDescent="0.25">
      <c r="A58" s="9">
        <v>5147</v>
      </c>
      <c r="B58" s="9" t="s">
        <v>55</v>
      </c>
      <c r="C58" s="9" t="s">
        <v>49</v>
      </c>
      <c r="D58" s="9" t="s">
        <v>90</v>
      </c>
      <c r="E58" s="9">
        <v>2004</v>
      </c>
      <c r="F58" s="9">
        <v>2006</v>
      </c>
      <c r="G58" s="9">
        <v>2</v>
      </c>
      <c r="H58" s="9">
        <v>6539.4</v>
      </c>
      <c r="I58" s="9">
        <v>31656.11</v>
      </c>
      <c r="J58" s="9"/>
      <c r="K58" s="9">
        <v>98.75</v>
      </c>
      <c r="L58" s="9">
        <v>69.28</v>
      </c>
      <c r="M58" s="9">
        <v>38264.79</v>
      </c>
      <c r="N58" s="9">
        <v>17.09</v>
      </c>
      <c r="O58" s="9">
        <v>6617.23</v>
      </c>
      <c r="P58" s="9" t="s">
        <v>88</v>
      </c>
      <c r="Q58" s="9">
        <v>0.52349999999999997</v>
      </c>
      <c r="R58" s="9">
        <v>69.28</v>
      </c>
      <c r="S58" s="9" t="s">
        <v>89</v>
      </c>
      <c r="T58" s="9" t="s">
        <v>157</v>
      </c>
      <c r="U58" s="9" t="b">
        <v>0</v>
      </c>
    </row>
    <row r="59" spans="1:21" x14ac:dyDescent="0.25">
      <c r="A59" s="9">
        <v>5147</v>
      </c>
      <c r="B59" s="9" t="s">
        <v>55</v>
      </c>
      <c r="C59" s="9" t="s">
        <v>49</v>
      </c>
      <c r="D59" s="9" t="s">
        <v>91</v>
      </c>
      <c r="E59" s="9">
        <v>2006</v>
      </c>
      <c r="F59" s="9">
        <v>2008</v>
      </c>
      <c r="G59" s="9">
        <v>2</v>
      </c>
      <c r="H59" s="9">
        <v>6381.94</v>
      </c>
      <c r="I59" s="9">
        <v>31739.7</v>
      </c>
      <c r="J59" s="9"/>
      <c r="K59" s="9">
        <v>118.91</v>
      </c>
      <c r="L59" s="9">
        <v>122.76</v>
      </c>
      <c r="M59" s="9">
        <v>38244.39</v>
      </c>
      <c r="N59" s="9">
        <v>16.690000000000001</v>
      </c>
      <c r="O59" s="9">
        <v>6539.4</v>
      </c>
      <c r="P59" s="9" t="s">
        <v>90</v>
      </c>
      <c r="Q59" s="9">
        <v>0.93859999999999999</v>
      </c>
      <c r="R59" s="9">
        <v>122.76</v>
      </c>
      <c r="S59" s="9" t="s">
        <v>89</v>
      </c>
      <c r="T59" s="9" t="s">
        <v>157</v>
      </c>
      <c r="U59" s="9" t="b">
        <v>0</v>
      </c>
    </row>
    <row r="60" spans="1:21" x14ac:dyDescent="0.25">
      <c r="A60" s="9">
        <v>5147</v>
      </c>
      <c r="B60" s="9" t="s">
        <v>55</v>
      </c>
      <c r="C60" s="9" t="s">
        <v>49</v>
      </c>
      <c r="D60" s="9" t="s">
        <v>92</v>
      </c>
      <c r="E60" s="9">
        <v>2008</v>
      </c>
      <c r="F60" s="9">
        <v>2010</v>
      </c>
      <c r="G60" s="9">
        <v>2</v>
      </c>
      <c r="H60" s="9">
        <v>5970.39</v>
      </c>
      <c r="I60" s="9">
        <v>31921.13</v>
      </c>
      <c r="J60" s="9"/>
      <c r="K60" s="9">
        <v>121</v>
      </c>
      <c r="L60" s="9">
        <v>351.2</v>
      </c>
      <c r="M60" s="9">
        <v>38242.720000000001</v>
      </c>
      <c r="N60" s="9">
        <v>15.61</v>
      </c>
      <c r="O60" s="9">
        <v>6381.94</v>
      </c>
      <c r="P60" s="9" t="s">
        <v>91</v>
      </c>
      <c r="Q60" s="9">
        <v>2.7515000000000001</v>
      </c>
      <c r="R60" s="9">
        <v>351.2</v>
      </c>
      <c r="S60" s="9" t="s">
        <v>89</v>
      </c>
      <c r="T60" s="9" t="s">
        <v>157</v>
      </c>
      <c r="U60" s="9" t="b">
        <v>0</v>
      </c>
    </row>
    <row r="61" spans="1:21" x14ac:dyDescent="0.25">
      <c r="A61" s="9">
        <v>5147</v>
      </c>
      <c r="B61" s="9" t="s">
        <v>55</v>
      </c>
      <c r="C61" s="9" t="s">
        <v>49</v>
      </c>
      <c r="D61" s="9" t="s">
        <v>93</v>
      </c>
      <c r="E61" s="9">
        <v>2010</v>
      </c>
      <c r="F61" s="9">
        <v>2012</v>
      </c>
      <c r="G61" s="9">
        <v>2</v>
      </c>
      <c r="H61" s="9"/>
      <c r="I61" s="9"/>
      <c r="J61" s="9"/>
      <c r="K61" s="9"/>
      <c r="L61" s="9">
        <v>158.57</v>
      </c>
      <c r="M61" s="9"/>
      <c r="N61" s="9"/>
      <c r="O61" s="9">
        <v>5970.39</v>
      </c>
      <c r="P61" s="9" t="s">
        <v>92</v>
      </c>
      <c r="Q61" s="9">
        <v>1.3280000000000001</v>
      </c>
      <c r="R61" s="9">
        <v>158.57</v>
      </c>
      <c r="S61" s="9" t="s">
        <v>94</v>
      </c>
      <c r="T61" s="9" t="s">
        <v>158</v>
      </c>
      <c r="U61" s="9" t="b">
        <v>1</v>
      </c>
    </row>
    <row r="62" spans="1:21" x14ac:dyDescent="0.25">
      <c r="A62" s="9">
        <v>5147</v>
      </c>
      <c r="B62" s="9" t="s">
        <v>55</v>
      </c>
      <c r="C62" s="9" t="s">
        <v>49</v>
      </c>
      <c r="D62" s="9" t="s">
        <v>96</v>
      </c>
      <c r="E62" s="9">
        <v>2012</v>
      </c>
      <c r="F62" s="9">
        <v>2013</v>
      </c>
      <c r="G62" s="9">
        <v>1</v>
      </c>
      <c r="H62" s="9">
        <v>5417.73</v>
      </c>
      <c r="I62" s="9">
        <v>32620.51</v>
      </c>
      <c r="J62" s="9"/>
      <c r="K62" s="9">
        <v>393.39</v>
      </c>
      <c r="L62" s="9">
        <v>13.48</v>
      </c>
      <c r="M62" s="9">
        <v>38051.71</v>
      </c>
      <c r="N62" s="9">
        <v>14.24</v>
      </c>
      <c r="O62" s="9">
        <v>5970.39</v>
      </c>
      <c r="P62" s="9" t="s">
        <v>92</v>
      </c>
      <c r="Q62" s="9">
        <v>0.2258</v>
      </c>
      <c r="R62" s="9">
        <v>13.48</v>
      </c>
      <c r="S62" s="9" t="s">
        <v>97</v>
      </c>
      <c r="T62" s="9" t="s">
        <v>159</v>
      </c>
      <c r="U62" s="9" t="b">
        <v>0</v>
      </c>
    </row>
    <row r="63" spans="1:21" x14ac:dyDescent="0.25">
      <c r="A63" s="9">
        <v>5147</v>
      </c>
      <c r="B63" s="9" t="s">
        <v>55</v>
      </c>
      <c r="C63" s="9" t="s">
        <v>49</v>
      </c>
      <c r="D63" s="9" t="s">
        <v>98</v>
      </c>
      <c r="E63" s="9">
        <v>2013</v>
      </c>
      <c r="F63" s="9">
        <v>2014</v>
      </c>
      <c r="G63" s="9">
        <v>1</v>
      </c>
      <c r="H63" s="9">
        <v>5338.65</v>
      </c>
      <c r="I63" s="9">
        <v>32977.769999999997</v>
      </c>
      <c r="J63" s="9"/>
      <c r="K63" s="9">
        <v>103.86</v>
      </c>
      <c r="L63" s="9">
        <v>18.78</v>
      </c>
      <c r="M63" s="9">
        <v>38335.199999999997</v>
      </c>
      <c r="N63" s="9">
        <v>13.93</v>
      </c>
      <c r="O63" s="9">
        <v>5417.73</v>
      </c>
      <c r="P63" s="9" t="s">
        <v>96</v>
      </c>
      <c r="Q63" s="9">
        <v>0.34660000000000002</v>
      </c>
      <c r="R63" s="9">
        <v>18.78</v>
      </c>
      <c r="S63" s="9" t="s">
        <v>89</v>
      </c>
      <c r="T63" s="9" t="s">
        <v>157</v>
      </c>
      <c r="U63" s="9" t="b">
        <v>0</v>
      </c>
    </row>
    <row r="64" spans="1:21" x14ac:dyDescent="0.25">
      <c r="A64" s="9">
        <v>5147</v>
      </c>
      <c r="B64" s="9" t="s">
        <v>55</v>
      </c>
      <c r="C64" s="9" t="s">
        <v>49</v>
      </c>
      <c r="D64" s="9" t="s">
        <v>99</v>
      </c>
      <c r="E64" s="9">
        <v>2014</v>
      </c>
      <c r="F64" s="9">
        <v>2015</v>
      </c>
      <c r="G64" s="9">
        <v>1</v>
      </c>
      <c r="H64" s="9">
        <v>5374.86</v>
      </c>
      <c r="I64" s="9">
        <v>32817.050000000003</v>
      </c>
      <c r="J64" s="9"/>
      <c r="K64" s="9">
        <v>73.819999999999993</v>
      </c>
      <c r="L64" s="9">
        <v>96.37</v>
      </c>
      <c r="M64" s="9">
        <v>38288.28</v>
      </c>
      <c r="N64" s="9">
        <v>14.04</v>
      </c>
      <c r="O64" s="9">
        <v>5338.65</v>
      </c>
      <c r="P64" s="9" t="s">
        <v>98</v>
      </c>
      <c r="Q64" s="9">
        <v>1.8051999999999999</v>
      </c>
      <c r="R64" s="9">
        <v>96.37</v>
      </c>
      <c r="S64" s="9" t="s">
        <v>43</v>
      </c>
      <c r="T64" s="9" t="s">
        <v>156</v>
      </c>
      <c r="U64" s="9" t="b">
        <v>0</v>
      </c>
    </row>
    <row r="65" spans="1:21" x14ac:dyDescent="0.25">
      <c r="A65" s="9">
        <v>5147</v>
      </c>
      <c r="B65" s="9" t="s">
        <v>55</v>
      </c>
      <c r="C65" s="9" t="s">
        <v>49</v>
      </c>
      <c r="D65" s="9" t="s">
        <v>100</v>
      </c>
      <c r="E65" s="9">
        <v>2015</v>
      </c>
      <c r="F65" s="9">
        <v>2016</v>
      </c>
      <c r="G65" s="9">
        <v>1</v>
      </c>
      <c r="H65" s="9"/>
      <c r="I65" s="9"/>
      <c r="J65" s="9"/>
      <c r="K65" s="9"/>
      <c r="L65" s="9">
        <v>292.14</v>
      </c>
      <c r="M65" s="9"/>
      <c r="N65" s="9"/>
      <c r="O65" s="9">
        <v>5374.86</v>
      </c>
      <c r="P65" s="9" t="s">
        <v>99</v>
      </c>
      <c r="Q65" s="9">
        <v>5.4352999999999998</v>
      </c>
      <c r="R65" s="9">
        <v>292.14</v>
      </c>
      <c r="S65" s="9" t="s">
        <v>160</v>
      </c>
      <c r="T65" s="9" t="s">
        <v>158</v>
      </c>
      <c r="U65" s="9" t="b">
        <v>1</v>
      </c>
    </row>
    <row r="66" spans="1:21" x14ac:dyDescent="0.25">
      <c r="A66" s="9">
        <v>5147</v>
      </c>
      <c r="B66" s="9" t="s">
        <v>55</v>
      </c>
      <c r="C66" s="9" t="s">
        <v>49</v>
      </c>
      <c r="D66" s="9" t="s">
        <v>102</v>
      </c>
      <c r="E66" s="9">
        <v>2016</v>
      </c>
      <c r="F66" s="9">
        <v>2017</v>
      </c>
      <c r="G66" s="9">
        <v>1</v>
      </c>
      <c r="H66" s="9">
        <v>4651.25</v>
      </c>
      <c r="I66" s="9">
        <v>33302.879999999997</v>
      </c>
      <c r="J66" s="9"/>
      <c r="K66" s="9">
        <v>346.45</v>
      </c>
      <c r="L66" s="9">
        <v>63.9</v>
      </c>
      <c r="M66" s="9">
        <v>38018.03</v>
      </c>
      <c r="N66" s="9">
        <v>12.23</v>
      </c>
      <c r="O66" s="9">
        <v>5374.86</v>
      </c>
      <c r="P66" s="9" t="s">
        <v>99</v>
      </c>
      <c r="Q66" s="9">
        <v>1.1889000000000001</v>
      </c>
      <c r="R66" s="9">
        <v>63.9</v>
      </c>
      <c r="S66" s="9" t="s">
        <v>89</v>
      </c>
      <c r="T66" s="9" t="s">
        <v>157</v>
      </c>
      <c r="U66" s="9" t="b">
        <v>0</v>
      </c>
    </row>
    <row r="67" spans="1:21" x14ac:dyDescent="0.25">
      <c r="A67" s="9">
        <v>5147</v>
      </c>
      <c r="B67" s="9" t="s">
        <v>55</v>
      </c>
      <c r="C67" s="9" t="s">
        <v>49</v>
      </c>
      <c r="D67" s="9" t="s">
        <v>103</v>
      </c>
      <c r="E67" s="9">
        <v>2017</v>
      </c>
      <c r="F67" s="9">
        <v>2018</v>
      </c>
      <c r="G67" s="9">
        <v>1</v>
      </c>
      <c r="H67" s="9">
        <v>4064.35</v>
      </c>
      <c r="I67" s="9">
        <v>34007.480000000003</v>
      </c>
      <c r="J67" s="9"/>
      <c r="K67" s="9">
        <v>6.57</v>
      </c>
      <c r="L67" s="9">
        <v>285.77</v>
      </c>
      <c r="M67" s="9">
        <v>38357.61</v>
      </c>
      <c r="N67" s="9">
        <v>10.6</v>
      </c>
      <c r="O67" s="9">
        <v>4651.25</v>
      </c>
      <c r="P67" s="9" t="s">
        <v>102</v>
      </c>
      <c r="Q67" s="9">
        <v>6.1440000000000001</v>
      </c>
      <c r="R67" s="9">
        <v>285.77</v>
      </c>
      <c r="S67" s="9" t="s">
        <v>89</v>
      </c>
      <c r="T67" s="9" t="s">
        <v>157</v>
      </c>
      <c r="U67" s="9" t="b">
        <v>0</v>
      </c>
    </row>
    <row r="68" spans="1:21" x14ac:dyDescent="0.25">
      <c r="A68" s="9">
        <v>5147</v>
      </c>
      <c r="B68" s="9" t="s">
        <v>55</v>
      </c>
      <c r="C68" s="9" t="s">
        <v>49</v>
      </c>
      <c r="D68" s="9" t="s">
        <v>104</v>
      </c>
      <c r="E68" s="9">
        <v>2018</v>
      </c>
      <c r="F68" s="9">
        <v>2019</v>
      </c>
      <c r="G68" s="9">
        <v>1</v>
      </c>
      <c r="H68" s="9"/>
      <c r="I68" s="9"/>
      <c r="J68" s="9"/>
      <c r="K68" s="9"/>
      <c r="L68" s="9">
        <v>168.34</v>
      </c>
      <c r="M68" s="9"/>
      <c r="N68" s="9"/>
      <c r="O68" s="9">
        <v>4064.35</v>
      </c>
      <c r="P68" s="9" t="s">
        <v>103</v>
      </c>
      <c r="Q68" s="9">
        <v>4.1418999999999997</v>
      </c>
      <c r="R68" s="9">
        <v>168.34</v>
      </c>
      <c r="S68" s="9" t="s">
        <v>105</v>
      </c>
      <c r="T68" s="9" t="s">
        <v>158</v>
      </c>
      <c r="U68" s="9" t="b">
        <v>1</v>
      </c>
    </row>
    <row r="69" spans="1:21" x14ac:dyDescent="0.25">
      <c r="A69" s="9">
        <v>5147</v>
      </c>
      <c r="B69" s="9" t="s">
        <v>55</v>
      </c>
      <c r="C69" s="9" t="s">
        <v>49</v>
      </c>
      <c r="D69" s="9" t="s">
        <v>106</v>
      </c>
      <c r="E69" s="9">
        <v>2019</v>
      </c>
      <c r="F69" s="9">
        <v>2020</v>
      </c>
      <c r="G69" s="9">
        <v>1</v>
      </c>
      <c r="H69" s="9">
        <v>4006.41</v>
      </c>
      <c r="I69" s="9">
        <v>34305.03</v>
      </c>
      <c r="J69" s="9"/>
      <c r="K69" s="9">
        <v>1.92</v>
      </c>
      <c r="L69" s="9">
        <v>50.91</v>
      </c>
      <c r="M69" s="9">
        <v>38362.339999999997</v>
      </c>
      <c r="N69" s="9">
        <v>10.44</v>
      </c>
      <c r="O69" s="9">
        <v>4064.35</v>
      </c>
      <c r="P69" s="9" t="s">
        <v>103</v>
      </c>
      <c r="Q69" s="9">
        <v>1.2524999999999999</v>
      </c>
      <c r="R69" s="9">
        <v>50.91</v>
      </c>
      <c r="S69" s="9" t="s">
        <v>89</v>
      </c>
      <c r="T69" s="9" t="s">
        <v>157</v>
      </c>
      <c r="U69" s="9" t="b">
        <v>0</v>
      </c>
    </row>
    <row r="70" spans="1:21" x14ac:dyDescent="0.25">
      <c r="A70" s="9">
        <v>5147</v>
      </c>
      <c r="B70" s="9" t="s">
        <v>55</v>
      </c>
      <c r="C70" s="9" t="s">
        <v>49</v>
      </c>
      <c r="D70" s="9" t="s">
        <v>107</v>
      </c>
      <c r="E70" s="9">
        <v>2020</v>
      </c>
      <c r="F70" s="9">
        <v>2021</v>
      </c>
      <c r="G70" s="9">
        <v>1</v>
      </c>
      <c r="H70" s="9">
        <v>3988.77</v>
      </c>
      <c r="I70" s="9">
        <v>34356.480000000003</v>
      </c>
      <c r="J70" s="9"/>
      <c r="K70" s="9">
        <v>1.92</v>
      </c>
      <c r="L70" s="9">
        <v>17.09</v>
      </c>
      <c r="M70" s="9">
        <v>38362.339999999997</v>
      </c>
      <c r="N70" s="9">
        <v>10.4</v>
      </c>
      <c r="O70" s="9">
        <v>4006.41</v>
      </c>
      <c r="P70" s="9" t="s">
        <v>106</v>
      </c>
      <c r="Q70" s="9">
        <v>0.42649999999999999</v>
      </c>
      <c r="R70" s="9">
        <v>17.09</v>
      </c>
      <c r="S70" s="9" t="s">
        <v>89</v>
      </c>
      <c r="T70" s="9" t="s">
        <v>157</v>
      </c>
      <c r="U70" s="9" t="b">
        <v>0</v>
      </c>
    </row>
    <row r="71" spans="1:21" x14ac:dyDescent="0.25">
      <c r="A71" s="9">
        <v>5147</v>
      </c>
      <c r="B71" s="9" t="s">
        <v>55</v>
      </c>
      <c r="C71" s="9" t="s">
        <v>49</v>
      </c>
      <c r="D71" s="9" t="s">
        <v>108</v>
      </c>
      <c r="E71" s="9">
        <v>2021</v>
      </c>
      <c r="F71" s="9">
        <v>2022</v>
      </c>
      <c r="G71" s="9">
        <v>1</v>
      </c>
      <c r="H71" s="9">
        <v>3954.94</v>
      </c>
      <c r="I71" s="9">
        <v>34378.01</v>
      </c>
      <c r="J71" s="9"/>
      <c r="K71" s="9">
        <v>2.35</v>
      </c>
      <c r="L71" s="9">
        <v>28.71</v>
      </c>
      <c r="M71" s="9">
        <v>38361.660000000003</v>
      </c>
      <c r="N71" s="9">
        <v>10.31</v>
      </c>
      <c r="O71" s="9">
        <v>3988.77</v>
      </c>
      <c r="P71" s="9" t="s">
        <v>107</v>
      </c>
      <c r="Q71" s="9">
        <v>0.7198</v>
      </c>
      <c r="R71" s="9">
        <v>28.71</v>
      </c>
      <c r="S71" s="9" t="s">
        <v>89</v>
      </c>
      <c r="T71" s="9" t="s">
        <v>157</v>
      </c>
      <c r="U71" s="9" t="b">
        <v>0</v>
      </c>
    </row>
    <row r="72" spans="1:21" x14ac:dyDescent="0.25">
      <c r="A72" s="9">
        <v>5147</v>
      </c>
      <c r="B72" s="9" t="s">
        <v>55</v>
      </c>
      <c r="C72" s="9" t="s">
        <v>49</v>
      </c>
      <c r="D72" s="9" t="s">
        <v>109</v>
      </c>
      <c r="E72" s="9">
        <v>2022</v>
      </c>
      <c r="F72" s="9">
        <v>2023</v>
      </c>
      <c r="G72" s="9">
        <v>1</v>
      </c>
      <c r="H72" s="9">
        <v>3947.91</v>
      </c>
      <c r="I72" s="9">
        <v>34415.800000000003</v>
      </c>
      <c r="J72" s="9"/>
      <c r="K72" s="9"/>
      <c r="L72" s="9">
        <v>0.55000000000000004</v>
      </c>
      <c r="M72" s="9">
        <v>38364.26</v>
      </c>
      <c r="N72" s="9">
        <v>10.29</v>
      </c>
      <c r="O72" s="9">
        <v>3954.94</v>
      </c>
      <c r="P72" s="9" t="s">
        <v>108</v>
      </c>
      <c r="Q72" s="9">
        <v>1.4E-2</v>
      </c>
      <c r="R72" s="9">
        <v>0.55000000000000004</v>
      </c>
      <c r="S72" s="9" t="s">
        <v>89</v>
      </c>
      <c r="T72" s="9" t="s">
        <v>157</v>
      </c>
      <c r="U72" s="9" t="b">
        <v>0</v>
      </c>
    </row>
    <row r="73" spans="1:21" x14ac:dyDescent="0.25">
      <c r="A73" s="9">
        <v>5147</v>
      </c>
      <c r="B73" s="9" t="s">
        <v>55</v>
      </c>
      <c r="C73" s="9" t="s">
        <v>49</v>
      </c>
      <c r="D73" s="9" t="s">
        <v>110</v>
      </c>
      <c r="E73" s="9">
        <v>2023</v>
      </c>
      <c r="F73" s="9">
        <v>2024</v>
      </c>
      <c r="G73" s="9">
        <v>1</v>
      </c>
      <c r="H73" s="9"/>
      <c r="I73" s="9"/>
      <c r="J73" s="9"/>
      <c r="K73" s="9"/>
      <c r="L73" s="9">
        <v>0</v>
      </c>
      <c r="M73" s="9"/>
      <c r="N73" s="9"/>
      <c r="O73" s="9">
        <v>3947.91</v>
      </c>
      <c r="P73" s="9" t="s">
        <v>109</v>
      </c>
      <c r="Q73" s="9">
        <v>0</v>
      </c>
      <c r="R73" s="9">
        <v>0</v>
      </c>
      <c r="S73" s="9" t="s">
        <v>105</v>
      </c>
      <c r="T73" s="9" t="s">
        <v>158</v>
      </c>
      <c r="U73" s="9" t="b">
        <v>1</v>
      </c>
    </row>
    <row r="74" spans="1:21" x14ac:dyDescent="0.25">
      <c r="A74" s="9">
        <v>5138</v>
      </c>
      <c r="B74" s="9" t="s">
        <v>57</v>
      </c>
      <c r="C74" s="9" t="s">
        <v>40</v>
      </c>
      <c r="D74" s="9" t="s">
        <v>41</v>
      </c>
      <c r="E74" s="9">
        <v>2000</v>
      </c>
      <c r="F74" s="9">
        <v>2002</v>
      </c>
      <c r="G74" s="9">
        <v>2</v>
      </c>
      <c r="H74" s="9">
        <v>11950.82</v>
      </c>
      <c r="I74" s="9">
        <v>24516.82</v>
      </c>
      <c r="J74" s="9"/>
      <c r="K74" s="9"/>
      <c r="L74" s="9">
        <v>8.0399999999999991</v>
      </c>
      <c r="M74" s="9">
        <v>36475.67</v>
      </c>
      <c r="N74" s="9">
        <v>32.76</v>
      </c>
      <c r="O74" s="9"/>
      <c r="P74" s="9"/>
      <c r="Q74" s="9"/>
      <c r="R74" s="9">
        <v>8.0399999999999991</v>
      </c>
      <c r="S74" s="9" t="s">
        <v>43</v>
      </c>
      <c r="T74" s="9" t="s">
        <v>156</v>
      </c>
      <c r="U74" s="9" t="b">
        <v>0</v>
      </c>
    </row>
    <row r="75" spans="1:21" x14ac:dyDescent="0.25">
      <c r="A75" s="9">
        <v>5138</v>
      </c>
      <c r="B75" s="9" t="s">
        <v>57</v>
      </c>
      <c r="C75" s="9" t="s">
        <v>40</v>
      </c>
      <c r="D75" s="9" t="s">
        <v>88</v>
      </c>
      <c r="E75" s="9">
        <v>2002</v>
      </c>
      <c r="F75" s="9">
        <v>2004</v>
      </c>
      <c r="G75" s="9">
        <v>2</v>
      </c>
      <c r="H75" s="9">
        <v>11919.07</v>
      </c>
      <c r="I75" s="9">
        <v>24513.72</v>
      </c>
      <c r="J75" s="9"/>
      <c r="K75" s="9"/>
      <c r="L75" s="9">
        <v>12.38</v>
      </c>
      <c r="M75" s="9">
        <v>36445.17</v>
      </c>
      <c r="N75" s="9">
        <v>32.700000000000003</v>
      </c>
      <c r="O75" s="9">
        <v>11950.82</v>
      </c>
      <c r="P75" s="9" t="s">
        <v>41</v>
      </c>
      <c r="Q75" s="9">
        <v>5.1799999999999999E-2</v>
      </c>
      <c r="R75" s="9">
        <v>12.38</v>
      </c>
      <c r="S75" s="9" t="s">
        <v>89</v>
      </c>
      <c r="T75" s="9" t="s">
        <v>157</v>
      </c>
      <c r="U75" s="9" t="b">
        <v>0</v>
      </c>
    </row>
    <row r="76" spans="1:21" x14ac:dyDescent="0.25">
      <c r="A76" s="9">
        <v>5138</v>
      </c>
      <c r="B76" s="9" t="s">
        <v>57</v>
      </c>
      <c r="C76" s="9" t="s">
        <v>40</v>
      </c>
      <c r="D76" s="9" t="s">
        <v>90</v>
      </c>
      <c r="E76" s="9">
        <v>2004</v>
      </c>
      <c r="F76" s="9">
        <v>2006</v>
      </c>
      <c r="G76" s="9">
        <v>2</v>
      </c>
      <c r="H76" s="9">
        <v>11892.77</v>
      </c>
      <c r="I76" s="9">
        <v>24530.13</v>
      </c>
      <c r="J76" s="9"/>
      <c r="K76" s="9"/>
      <c r="L76" s="9">
        <v>22.27</v>
      </c>
      <c r="M76" s="9">
        <v>36445.17</v>
      </c>
      <c r="N76" s="9">
        <v>32.630000000000003</v>
      </c>
      <c r="O76" s="9">
        <v>11919.07</v>
      </c>
      <c r="P76" s="9" t="s">
        <v>88</v>
      </c>
      <c r="Q76" s="9">
        <v>9.3399999999999997E-2</v>
      </c>
      <c r="R76" s="9">
        <v>22.27</v>
      </c>
      <c r="S76" s="9" t="s">
        <v>89</v>
      </c>
      <c r="T76" s="9" t="s">
        <v>157</v>
      </c>
      <c r="U76" s="9" t="b">
        <v>0</v>
      </c>
    </row>
    <row r="77" spans="1:21" x14ac:dyDescent="0.25">
      <c r="A77" s="9">
        <v>5138</v>
      </c>
      <c r="B77" s="9" t="s">
        <v>57</v>
      </c>
      <c r="C77" s="9" t="s">
        <v>40</v>
      </c>
      <c r="D77" s="9" t="s">
        <v>91</v>
      </c>
      <c r="E77" s="9">
        <v>2006</v>
      </c>
      <c r="F77" s="9">
        <v>2008</v>
      </c>
      <c r="G77" s="9">
        <v>2</v>
      </c>
      <c r="H77" s="9">
        <v>11869.18</v>
      </c>
      <c r="I77" s="9">
        <v>24554.38</v>
      </c>
      <c r="J77" s="9"/>
      <c r="K77" s="9"/>
      <c r="L77" s="9">
        <v>21.57</v>
      </c>
      <c r="M77" s="9">
        <v>36445.129999999997</v>
      </c>
      <c r="N77" s="9">
        <v>32.57</v>
      </c>
      <c r="O77" s="9">
        <v>11892.77</v>
      </c>
      <c r="P77" s="9" t="s">
        <v>90</v>
      </c>
      <c r="Q77" s="9">
        <v>9.0700000000000003E-2</v>
      </c>
      <c r="R77" s="9">
        <v>21.57</v>
      </c>
      <c r="S77" s="9" t="s">
        <v>89</v>
      </c>
      <c r="T77" s="9" t="s">
        <v>157</v>
      </c>
      <c r="U77" s="9" t="b">
        <v>0</v>
      </c>
    </row>
    <row r="78" spans="1:21" x14ac:dyDescent="0.25">
      <c r="A78" s="9">
        <v>5138</v>
      </c>
      <c r="B78" s="9" t="s">
        <v>57</v>
      </c>
      <c r="C78" s="9" t="s">
        <v>40</v>
      </c>
      <c r="D78" s="9" t="s">
        <v>92</v>
      </c>
      <c r="E78" s="9">
        <v>2008</v>
      </c>
      <c r="F78" s="9">
        <v>2010</v>
      </c>
      <c r="G78" s="9">
        <v>2</v>
      </c>
      <c r="H78" s="9">
        <v>11992.56</v>
      </c>
      <c r="I78" s="9">
        <v>24444.7</v>
      </c>
      <c r="J78" s="9"/>
      <c r="K78" s="9"/>
      <c r="L78" s="9">
        <v>7.91</v>
      </c>
      <c r="M78" s="9">
        <v>36445.17</v>
      </c>
      <c r="N78" s="9">
        <v>32.909999999999997</v>
      </c>
      <c r="O78" s="9">
        <v>11869.18</v>
      </c>
      <c r="P78" s="9" t="s">
        <v>91</v>
      </c>
      <c r="Q78" s="9">
        <v>3.3300000000000003E-2</v>
      </c>
      <c r="R78" s="9">
        <v>7.91</v>
      </c>
      <c r="S78" s="9" t="s">
        <v>89</v>
      </c>
      <c r="T78" s="9" t="s">
        <v>157</v>
      </c>
      <c r="U78" s="9" t="b">
        <v>0</v>
      </c>
    </row>
    <row r="79" spans="1:21" x14ac:dyDescent="0.25">
      <c r="A79" s="9">
        <v>5138</v>
      </c>
      <c r="B79" s="9" t="s">
        <v>57</v>
      </c>
      <c r="C79" s="9" t="s">
        <v>40</v>
      </c>
      <c r="D79" s="9" t="s">
        <v>93</v>
      </c>
      <c r="E79" s="9">
        <v>2010</v>
      </c>
      <c r="F79" s="9">
        <v>2012</v>
      </c>
      <c r="G79" s="9">
        <v>2</v>
      </c>
      <c r="H79" s="9"/>
      <c r="I79" s="9"/>
      <c r="J79" s="9"/>
      <c r="K79" s="9"/>
      <c r="L79" s="9">
        <v>198.37</v>
      </c>
      <c r="M79" s="9"/>
      <c r="N79" s="9"/>
      <c r="O79" s="9">
        <v>11992.56</v>
      </c>
      <c r="P79" s="9" t="s">
        <v>92</v>
      </c>
      <c r="Q79" s="9">
        <v>0.82709999999999995</v>
      </c>
      <c r="R79" s="9">
        <v>198.37</v>
      </c>
      <c r="S79" s="9" t="s">
        <v>94</v>
      </c>
      <c r="T79" s="9" t="s">
        <v>158</v>
      </c>
      <c r="U79" s="9" t="b">
        <v>1</v>
      </c>
    </row>
    <row r="80" spans="1:21" x14ac:dyDescent="0.25">
      <c r="A80" s="9">
        <v>5138</v>
      </c>
      <c r="B80" s="9" t="s">
        <v>57</v>
      </c>
      <c r="C80" s="9" t="s">
        <v>40</v>
      </c>
      <c r="D80" s="9" t="s">
        <v>96</v>
      </c>
      <c r="E80" s="9">
        <v>2012</v>
      </c>
      <c r="F80" s="9">
        <v>2013</v>
      </c>
      <c r="G80" s="9">
        <v>1</v>
      </c>
      <c r="H80" s="9">
        <v>12070.85</v>
      </c>
      <c r="I80" s="9">
        <v>24096.34</v>
      </c>
      <c r="J80" s="9"/>
      <c r="K80" s="9">
        <v>34.86</v>
      </c>
      <c r="L80" s="9">
        <v>232.58</v>
      </c>
      <c r="M80" s="9">
        <v>36399.769999999997</v>
      </c>
      <c r="N80" s="9">
        <v>33.159999999999997</v>
      </c>
      <c r="O80" s="9">
        <v>11992.56</v>
      </c>
      <c r="P80" s="9" t="s">
        <v>92</v>
      </c>
      <c r="Q80" s="9">
        <v>1.9394</v>
      </c>
      <c r="R80" s="9">
        <v>232.58</v>
      </c>
      <c r="S80" s="9" t="s">
        <v>97</v>
      </c>
      <c r="T80" s="9" t="s">
        <v>159</v>
      </c>
      <c r="U80" s="9" t="b">
        <v>0</v>
      </c>
    </row>
    <row r="81" spans="1:21" x14ac:dyDescent="0.25">
      <c r="A81" s="9">
        <v>5138</v>
      </c>
      <c r="B81" s="9" t="s">
        <v>57</v>
      </c>
      <c r="C81" s="9" t="s">
        <v>40</v>
      </c>
      <c r="D81" s="9" t="s">
        <v>98</v>
      </c>
      <c r="E81" s="9">
        <v>2013</v>
      </c>
      <c r="F81" s="9">
        <v>2014</v>
      </c>
      <c r="G81" s="9">
        <v>1</v>
      </c>
      <c r="H81" s="9">
        <v>12105.32</v>
      </c>
      <c r="I81" s="9">
        <v>24351.64</v>
      </c>
      <c r="J81" s="9"/>
      <c r="K81" s="9">
        <v>4.46</v>
      </c>
      <c r="L81" s="9">
        <v>13.47</v>
      </c>
      <c r="M81" s="9">
        <v>36470.43</v>
      </c>
      <c r="N81" s="9">
        <v>33.19</v>
      </c>
      <c r="O81" s="9">
        <v>12070.85</v>
      </c>
      <c r="P81" s="9" t="s">
        <v>96</v>
      </c>
      <c r="Q81" s="9">
        <v>0.1116</v>
      </c>
      <c r="R81" s="9">
        <v>13.47</v>
      </c>
      <c r="S81" s="9" t="s">
        <v>89</v>
      </c>
      <c r="T81" s="9" t="s">
        <v>157</v>
      </c>
      <c r="U81" s="9" t="b">
        <v>0</v>
      </c>
    </row>
    <row r="82" spans="1:21" x14ac:dyDescent="0.25">
      <c r="A82" s="9">
        <v>5138</v>
      </c>
      <c r="B82" s="9" t="s">
        <v>57</v>
      </c>
      <c r="C82" s="9" t="s">
        <v>40</v>
      </c>
      <c r="D82" s="9" t="s">
        <v>99</v>
      </c>
      <c r="E82" s="9">
        <v>2014</v>
      </c>
      <c r="F82" s="9">
        <v>2015</v>
      </c>
      <c r="G82" s="9">
        <v>1</v>
      </c>
      <c r="H82" s="9">
        <v>12055.05</v>
      </c>
      <c r="I82" s="9">
        <v>24320.58</v>
      </c>
      <c r="J82" s="9"/>
      <c r="K82" s="9">
        <v>19.21</v>
      </c>
      <c r="L82" s="9">
        <v>37.99</v>
      </c>
      <c r="M82" s="9">
        <v>36413.620000000003</v>
      </c>
      <c r="N82" s="9">
        <v>33.11</v>
      </c>
      <c r="O82" s="9">
        <v>12105.32</v>
      </c>
      <c r="P82" s="9" t="s">
        <v>98</v>
      </c>
      <c r="Q82" s="9">
        <v>0.31390000000000001</v>
      </c>
      <c r="R82" s="9">
        <v>37.99</v>
      </c>
      <c r="S82" s="9" t="s">
        <v>43</v>
      </c>
      <c r="T82" s="9" t="s">
        <v>156</v>
      </c>
      <c r="U82" s="9" t="b">
        <v>0</v>
      </c>
    </row>
    <row r="83" spans="1:21" x14ac:dyDescent="0.25">
      <c r="A83" s="9">
        <v>5138</v>
      </c>
      <c r="B83" s="9" t="s">
        <v>57</v>
      </c>
      <c r="C83" s="9" t="s">
        <v>40</v>
      </c>
      <c r="D83" s="9" t="s">
        <v>100</v>
      </c>
      <c r="E83" s="9">
        <v>2015</v>
      </c>
      <c r="F83" s="9">
        <v>2016</v>
      </c>
      <c r="G83" s="9">
        <v>1</v>
      </c>
      <c r="H83" s="9"/>
      <c r="I83" s="9"/>
      <c r="J83" s="9"/>
      <c r="K83" s="9"/>
      <c r="L83" s="9">
        <v>22.7</v>
      </c>
      <c r="M83" s="9"/>
      <c r="N83" s="9"/>
      <c r="O83" s="9">
        <v>12055.05</v>
      </c>
      <c r="P83" s="9" t="s">
        <v>99</v>
      </c>
      <c r="Q83" s="9">
        <v>0.1883</v>
      </c>
      <c r="R83" s="9">
        <v>22.7</v>
      </c>
      <c r="S83" s="9" t="s">
        <v>160</v>
      </c>
      <c r="T83" s="9" t="s">
        <v>158</v>
      </c>
      <c r="U83" s="9" t="b">
        <v>1</v>
      </c>
    </row>
    <row r="84" spans="1:21" x14ac:dyDescent="0.25">
      <c r="A84" s="9">
        <v>5138</v>
      </c>
      <c r="B84" s="9" t="s">
        <v>57</v>
      </c>
      <c r="C84" s="9" t="s">
        <v>40</v>
      </c>
      <c r="D84" s="9" t="s">
        <v>102</v>
      </c>
      <c r="E84" s="9">
        <v>2016</v>
      </c>
      <c r="F84" s="9">
        <v>2017</v>
      </c>
      <c r="G84" s="9">
        <v>1</v>
      </c>
      <c r="H84" s="9">
        <v>12398.52</v>
      </c>
      <c r="I84" s="9">
        <v>23950.240000000002</v>
      </c>
      <c r="J84" s="9"/>
      <c r="K84" s="9">
        <v>35.75</v>
      </c>
      <c r="L84" s="9">
        <v>60.61</v>
      </c>
      <c r="M84" s="9">
        <v>36409.379999999997</v>
      </c>
      <c r="N84" s="9">
        <v>34.049999999999997</v>
      </c>
      <c r="O84" s="9">
        <v>12055.05</v>
      </c>
      <c r="P84" s="9" t="s">
        <v>99</v>
      </c>
      <c r="Q84" s="9">
        <v>0.50280000000000002</v>
      </c>
      <c r="R84" s="9">
        <v>60.61</v>
      </c>
      <c r="S84" s="9" t="s">
        <v>89</v>
      </c>
      <c r="T84" s="9" t="s">
        <v>157</v>
      </c>
      <c r="U84" s="9" t="b">
        <v>0</v>
      </c>
    </row>
    <row r="85" spans="1:21" x14ac:dyDescent="0.25">
      <c r="A85" s="9">
        <v>5138</v>
      </c>
      <c r="B85" s="9" t="s">
        <v>57</v>
      </c>
      <c r="C85" s="9" t="s">
        <v>40</v>
      </c>
      <c r="D85" s="9" t="s">
        <v>103</v>
      </c>
      <c r="E85" s="9">
        <v>2017</v>
      </c>
      <c r="F85" s="9">
        <v>2018</v>
      </c>
      <c r="G85" s="9">
        <v>1</v>
      </c>
      <c r="H85" s="9">
        <v>12232.74</v>
      </c>
      <c r="I85" s="9">
        <v>24029.03</v>
      </c>
      <c r="J85" s="9">
        <v>1.02</v>
      </c>
      <c r="K85" s="9">
        <v>182.08</v>
      </c>
      <c r="L85" s="9"/>
      <c r="M85" s="9">
        <v>36262.79</v>
      </c>
      <c r="N85" s="9">
        <v>33.729999999999997</v>
      </c>
      <c r="O85" s="9">
        <v>12398.52</v>
      </c>
      <c r="P85" s="9" t="s">
        <v>102</v>
      </c>
      <c r="Q85" s="9"/>
      <c r="R85" s="9">
        <v>-1.02</v>
      </c>
      <c r="S85" s="9" t="s">
        <v>89</v>
      </c>
      <c r="T85" s="9" t="s">
        <v>157</v>
      </c>
      <c r="U85" s="9" t="b">
        <v>0</v>
      </c>
    </row>
    <row r="86" spans="1:21" x14ac:dyDescent="0.25">
      <c r="A86" s="9">
        <v>5138</v>
      </c>
      <c r="B86" s="9" t="s">
        <v>57</v>
      </c>
      <c r="C86" s="9" t="s">
        <v>40</v>
      </c>
      <c r="D86" s="9" t="s">
        <v>104</v>
      </c>
      <c r="E86" s="9">
        <v>2018</v>
      </c>
      <c r="F86" s="9">
        <v>2019</v>
      </c>
      <c r="G86" s="9">
        <v>1</v>
      </c>
      <c r="H86" s="9"/>
      <c r="I86" s="9"/>
      <c r="J86" s="9"/>
      <c r="K86" s="9"/>
      <c r="L86" s="9">
        <v>49.62</v>
      </c>
      <c r="M86" s="9"/>
      <c r="N86" s="9"/>
      <c r="O86" s="9">
        <v>12232.74</v>
      </c>
      <c r="P86" s="9" t="s">
        <v>103</v>
      </c>
      <c r="Q86" s="9">
        <v>0.40560000000000002</v>
      </c>
      <c r="R86" s="9">
        <v>49.62</v>
      </c>
      <c r="S86" s="9" t="s">
        <v>105</v>
      </c>
      <c r="T86" s="9" t="s">
        <v>158</v>
      </c>
      <c r="U86" s="9" t="b">
        <v>1</v>
      </c>
    </row>
    <row r="87" spans="1:21" x14ac:dyDescent="0.25">
      <c r="A87" s="9">
        <v>5138</v>
      </c>
      <c r="B87" s="9" t="s">
        <v>57</v>
      </c>
      <c r="C87" s="9" t="s">
        <v>40</v>
      </c>
      <c r="D87" s="9" t="s">
        <v>106</v>
      </c>
      <c r="E87" s="9">
        <v>2019</v>
      </c>
      <c r="F87" s="9">
        <v>2020</v>
      </c>
      <c r="G87" s="9">
        <v>1</v>
      </c>
      <c r="H87" s="9">
        <v>12371.45</v>
      </c>
      <c r="I87" s="9">
        <v>24035.200000000001</v>
      </c>
      <c r="J87" s="9"/>
      <c r="K87" s="9"/>
      <c r="L87" s="9">
        <v>38.630000000000003</v>
      </c>
      <c r="M87" s="9">
        <v>36445.279999999999</v>
      </c>
      <c r="N87" s="9">
        <v>33.950000000000003</v>
      </c>
      <c r="O87" s="9">
        <v>12232.74</v>
      </c>
      <c r="P87" s="9" t="s">
        <v>103</v>
      </c>
      <c r="Q87" s="9">
        <v>0.31580000000000003</v>
      </c>
      <c r="R87" s="9">
        <v>38.630000000000003</v>
      </c>
      <c r="S87" s="9" t="s">
        <v>89</v>
      </c>
      <c r="T87" s="9" t="s">
        <v>157</v>
      </c>
      <c r="U87" s="9" t="b">
        <v>0</v>
      </c>
    </row>
    <row r="88" spans="1:21" x14ac:dyDescent="0.25">
      <c r="A88" s="9">
        <v>5138</v>
      </c>
      <c r="B88" s="9" t="s">
        <v>57</v>
      </c>
      <c r="C88" s="9" t="s">
        <v>40</v>
      </c>
      <c r="D88" s="9" t="s">
        <v>107</v>
      </c>
      <c r="E88" s="9">
        <v>2020</v>
      </c>
      <c r="F88" s="9">
        <v>2021</v>
      </c>
      <c r="G88" s="9">
        <v>1</v>
      </c>
      <c r="H88" s="9">
        <v>12350.46</v>
      </c>
      <c r="I88" s="9">
        <v>24075.33</v>
      </c>
      <c r="J88" s="9"/>
      <c r="K88" s="9"/>
      <c r="L88" s="9">
        <v>19.489999999999998</v>
      </c>
      <c r="M88" s="9">
        <v>36445.279999999999</v>
      </c>
      <c r="N88" s="9">
        <v>33.89</v>
      </c>
      <c r="O88" s="9">
        <v>12371.45</v>
      </c>
      <c r="P88" s="9" t="s">
        <v>106</v>
      </c>
      <c r="Q88" s="9">
        <v>0.15759999999999999</v>
      </c>
      <c r="R88" s="9">
        <v>19.489999999999998</v>
      </c>
      <c r="S88" s="9" t="s">
        <v>89</v>
      </c>
      <c r="T88" s="9" t="s">
        <v>157</v>
      </c>
      <c r="U88" s="9" t="b">
        <v>0</v>
      </c>
    </row>
    <row r="89" spans="1:21" x14ac:dyDescent="0.25">
      <c r="A89" s="9">
        <v>5138</v>
      </c>
      <c r="B89" s="9" t="s">
        <v>57</v>
      </c>
      <c r="C89" s="9" t="s">
        <v>40</v>
      </c>
      <c r="D89" s="9" t="s">
        <v>108</v>
      </c>
      <c r="E89" s="9">
        <v>2021</v>
      </c>
      <c r="F89" s="9">
        <v>2022</v>
      </c>
      <c r="G89" s="9">
        <v>1</v>
      </c>
      <c r="H89" s="9">
        <v>12169.11</v>
      </c>
      <c r="I89" s="9">
        <v>24268.639999999999</v>
      </c>
      <c r="J89" s="9"/>
      <c r="K89" s="9"/>
      <c r="L89" s="9">
        <v>7.52</v>
      </c>
      <c r="M89" s="9">
        <v>36445.269999999997</v>
      </c>
      <c r="N89" s="9">
        <v>33.39</v>
      </c>
      <c r="O89" s="9">
        <v>12350.46</v>
      </c>
      <c r="P89" s="9" t="s">
        <v>107</v>
      </c>
      <c r="Q89" s="9">
        <v>6.0900000000000003E-2</v>
      </c>
      <c r="R89" s="9">
        <v>7.52</v>
      </c>
      <c r="S89" s="9" t="s">
        <v>89</v>
      </c>
      <c r="T89" s="9" t="s">
        <v>157</v>
      </c>
      <c r="U89" s="9" t="b">
        <v>0</v>
      </c>
    </row>
    <row r="90" spans="1:21" x14ac:dyDescent="0.25">
      <c r="A90" s="9">
        <v>5138</v>
      </c>
      <c r="B90" s="9" t="s">
        <v>57</v>
      </c>
      <c r="C90" s="9" t="s">
        <v>40</v>
      </c>
      <c r="D90" s="9" t="s">
        <v>109</v>
      </c>
      <c r="E90" s="9">
        <v>2022</v>
      </c>
      <c r="F90" s="9">
        <v>2023</v>
      </c>
      <c r="G90" s="9">
        <v>1</v>
      </c>
      <c r="H90" s="9">
        <v>12135.35</v>
      </c>
      <c r="I90" s="9">
        <v>24299.24</v>
      </c>
      <c r="J90" s="9"/>
      <c r="K90" s="9"/>
      <c r="L90" s="9">
        <v>10.91</v>
      </c>
      <c r="M90" s="9">
        <v>36445.5</v>
      </c>
      <c r="N90" s="9">
        <v>33.299999999999997</v>
      </c>
      <c r="O90" s="9">
        <v>12169.11</v>
      </c>
      <c r="P90" s="9" t="s">
        <v>108</v>
      </c>
      <c r="Q90" s="9">
        <v>8.9599999999999999E-2</v>
      </c>
      <c r="R90" s="9">
        <v>10.91</v>
      </c>
      <c r="S90" s="9" t="s">
        <v>89</v>
      </c>
      <c r="T90" s="9" t="s">
        <v>157</v>
      </c>
      <c r="U90" s="9" t="b">
        <v>0</v>
      </c>
    </row>
    <row r="91" spans="1:21" x14ac:dyDescent="0.25">
      <c r="A91" s="9">
        <v>5138</v>
      </c>
      <c r="B91" s="9" t="s">
        <v>57</v>
      </c>
      <c r="C91" s="9" t="s">
        <v>40</v>
      </c>
      <c r="D91" s="9" t="s">
        <v>110</v>
      </c>
      <c r="E91" s="9">
        <v>2023</v>
      </c>
      <c r="F91" s="9">
        <v>2024</v>
      </c>
      <c r="G91" s="9">
        <v>1</v>
      </c>
      <c r="H91" s="9"/>
      <c r="I91" s="9"/>
      <c r="J91" s="9"/>
      <c r="K91" s="9"/>
      <c r="L91" s="9">
        <v>4.0599999999999996</v>
      </c>
      <c r="M91" s="9"/>
      <c r="N91" s="9"/>
      <c r="O91" s="9">
        <v>12135.35</v>
      </c>
      <c r="P91" s="9" t="s">
        <v>109</v>
      </c>
      <c r="Q91" s="9">
        <v>3.3500000000000002E-2</v>
      </c>
      <c r="R91" s="9">
        <v>4.0599999999999996</v>
      </c>
      <c r="S91" s="9" t="s">
        <v>105</v>
      </c>
      <c r="T91" s="9" t="s">
        <v>158</v>
      </c>
      <c r="U91" s="9" t="b">
        <v>1</v>
      </c>
    </row>
    <row r="92" spans="1:21" x14ac:dyDescent="0.25">
      <c r="A92" s="9">
        <v>5172</v>
      </c>
      <c r="B92" s="9" t="s">
        <v>59</v>
      </c>
      <c r="C92" s="9" t="s">
        <v>49</v>
      </c>
      <c r="D92" s="9" t="s">
        <v>41</v>
      </c>
      <c r="E92" s="9">
        <v>2000</v>
      </c>
      <c r="F92" s="9">
        <v>2002</v>
      </c>
      <c r="G92" s="9">
        <v>2</v>
      </c>
      <c r="H92" s="9">
        <v>21398.01</v>
      </c>
      <c r="I92" s="9">
        <v>48882.69</v>
      </c>
      <c r="J92" s="9"/>
      <c r="K92" s="9">
        <v>339.19</v>
      </c>
      <c r="L92" s="9">
        <v>6.79</v>
      </c>
      <c r="M92" s="9">
        <v>70287.490000000005</v>
      </c>
      <c r="N92" s="9">
        <v>30.44</v>
      </c>
      <c r="O92" s="9"/>
      <c r="P92" s="9"/>
      <c r="Q92" s="9"/>
      <c r="R92" s="9">
        <v>6.79</v>
      </c>
      <c r="S92" s="9" t="s">
        <v>43</v>
      </c>
      <c r="T92" s="9" t="s">
        <v>156</v>
      </c>
      <c r="U92" s="9" t="b">
        <v>0</v>
      </c>
    </row>
    <row r="93" spans="1:21" x14ac:dyDescent="0.25">
      <c r="A93" s="9">
        <v>5172</v>
      </c>
      <c r="B93" s="9" t="s">
        <v>59</v>
      </c>
      <c r="C93" s="9" t="s">
        <v>49</v>
      </c>
      <c r="D93" s="9" t="s">
        <v>88</v>
      </c>
      <c r="E93" s="9">
        <v>2002</v>
      </c>
      <c r="F93" s="9">
        <v>2004</v>
      </c>
      <c r="G93" s="9">
        <v>2</v>
      </c>
      <c r="H93" s="9">
        <v>20957.849999999999</v>
      </c>
      <c r="I93" s="9">
        <v>48953.07</v>
      </c>
      <c r="J93" s="9"/>
      <c r="K93" s="9">
        <v>225.33</v>
      </c>
      <c r="L93" s="9">
        <v>325.17</v>
      </c>
      <c r="M93" s="9">
        <v>70236.09</v>
      </c>
      <c r="N93" s="9">
        <v>29.84</v>
      </c>
      <c r="O93" s="9">
        <v>21398.01</v>
      </c>
      <c r="P93" s="9" t="s">
        <v>41</v>
      </c>
      <c r="Q93" s="9">
        <v>0.75980000000000003</v>
      </c>
      <c r="R93" s="9">
        <v>325.17</v>
      </c>
      <c r="S93" s="9" t="s">
        <v>89</v>
      </c>
      <c r="T93" s="9" t="s">
        <v>157</v>
      </c>
      <c r="U93" s="9" t="b">
        <v>0</v>
      </c>
    </row>
    <row r="94" spans="1:21" x14ac:dyDescent="0.25">
      <c r="A94" s="9">
        <v>5172</v>
      </c>
      <c r="B94" s="9" t="s">
        <v>59</v>
      </c>
      <c r="C94" s="9" t="s">
        <v>49</v>
      </c>
      <c r="D94" s="9" t="s">
        <v>90</v>
      </c>
      <c r="E94" s="9">
        <v>2004</v>
      </c>
      <c r="F94" s="9">
        <v>2006</v>
      </c>
      <c r="G94" s="9">
        <v>2</v>
      </c>
      <c r="H94" s="9">
        <v>20894.939999999999</v>
      </c>
      <c r="I94" s="9">
        <v>49356.19</v>
      </c>
      <c r="J94" s="9"/>
      <c r="K94" s="9">
        <v>70.010000000000005</v>
      </c>
      <c r="L94" s="9">
        <v>140.54</v>
      </c>
      <c r="M94" s="9">
        <v>70391.67</v>
      </c>
      <c r="N94" s="9">
        <v>29.68</v>
      </c>
      <c r="O94" s="9">
        <v>20957.849999999999</v>
      </c>
      <c r="P94" s="9" t="s">
        <v>88</v>
      </c>
      <c r="Q94" s="9">
        <v>0.33529999999999999</v>
      </c>
      <c r="R94" s="9">
        <v>140.54</v>
      </c>
      <c r="S94" s="9" t="s">
        <v>89</v>
      </c>
      <c r="T94" s="9" t="s">
        <v>157</v>
      </c>
      <c r="U94" s="9" t="b">
        <v>0</v>
      </c>
    </row>
    <row r="95" spans="1:21" x14ac:dyDescent="0.25">
      <c r="A95" s="9">
        <v>5172</v>
      </c>
      <c r="B95" s="9" t="s">
        <v>59</v>
      </c>
      <c r="C95" s="9" t="s">
        <v>49</v>
      </c>
      <c r="D95" s="9" t="s">
        <v>91</v>
      </c>
      <c r="E95" s="9">
        <v>2006</v>
      </c>
      <c r="F95" s="9">
        <v>2008</v>
      </c>
      <c r="G95" s="9">
        <v>2</v>
      </c>
      <c r="H95" s="9">
        <v>20543.72</v>
      </c>
      <c r="I95" s="9">
        <v>49585.13</v>
      </c>
      <c r="J95" s="9"/>
      <c r="K95" s="9">
        <v>194.96</v>
      </c>
      <c r="L95" s="9">
        <v>138.08000000000001</v>
      </c>
      <c r="M95" s="9">
        <v>70266.94</v>
      </c>
      <c r="N95" s="9">
        <v>29.24</v>
      </c>
      <c r="O95" s="9">
        <v>20894.939999999999</v>
      </c>
      <c r="P95" s="9" t="s">
        <v>90</v>
      </c>
      <c r="Q95" s="9">
        <v>0.33040000000000003</v>
      </c>
      <c r="R95" s="9">
        <v>138.08000000000001</v>
      </c>
      <c r="S95" s="9" t="s">
        <v>89</v>
      </c>
      <c r="T95" s="9" t="s">
        <v>157</v>
      </c>
      <c r="U95" s="9" t="b">
        <v>0</v>
      </c>
    </row>
    <row r="96" spans="1:21" x14ac:dyDescent="0.25">
      <c r="A96" s="9">
        <v>5172</v>
      </c>
      <c r="B96" s="9" t="s">
        <v>59</v>
      </c>
      <c r="C96" s="9" t="s">
        <v>49</v>
      </c>
      <c r="D96" s="9" t="s">
        <v>92</v>
      </c>
      <c r="E96" s="9">
        <v>2008</v>
      </c>
      <c r="F96" s="9">
        <v>2010</v>
      </c>
      <c r="G96" s="9">
        <v>2</v>
      </c>
      <c r="H96" s="9">
        <v>20348.55</v>
      </c>
      <c r="I96" s="9">
        <v>49601.15</v>
      </c>
      <c r="J96" s="9"/>
      <c r="K96" s="9">
        <v>370.27</v>
      </c>
      <c r="L96" s="9">
        <v>141.72999999999999</v>
      </c>
      <c r="M96" s="9">
        <v>70091.429999999993</v>
      </c>
      <c r="N96" s="9">
        <v>29.03</v>
      </c>
      <c r="O96" s="9">
        <v>20543.72</v>
      </c>
      <c r="P96" s="9" t="s">
        <v>91</v>
      </c>
      <c r="Q96" s="9">
        <v>0.34499999999999997</v>
      </c>
      <c r="R96" s="9">
        <v>141.72999999999999</v>
      </c>
      <c r="S96" s="9" t="s">
        <v>89</v>
      </c>
      <c r="T96" s="9" t="s">
        <v>157</v>
      </c>
      <c r="U96" s="9" t="b">
        <v>0</v>
      </c>
    </row>
    <row r="97" spans="1:21" x14ac:dyDescent="0.25">
      <c r="A97" s="9">
        <v>5172</v>
      </c>
      <c r="B97" s="9" t="s">
        <v>59</v>
      </c>
      <c r="C97" s="9" t="s">
        <v>49</v>
      </c>
      <c r="D97" s="9" t="s">
        <v>93</v>
      </c>
      <c r="E97" s="9">
        <v>2010</v>
      </c>
      <c r="F97" s="9">
        <v>2012</v>
      </c>
      <c r="G97" s="9">
        <v>2</v>
      </c>
      <c r="H97" s="9"/>
      <c r="I97" s="9"/>
      <c r="J97" s="9"/>
      <c r="K97" s="9"/>
      <c r="L97" s="9">
        <v>149.01</v>
      </c>
      <c r="M97" s="9"/>
      <c r="N97" s="9"/>
      <c r="O97" s="9">
        <v>20348.55</v>
      </c>
      <c r="P97" s="9" t="s">
        <v>92</v>
      </c>
      <c r="Q97" s="9">
        <v>0.36609999999999998</v>
      </c>
      <c r="R97" s="9">
        <v>149.01</v>
      </c>
      <c r="S97" s="9" t="s">
        <v>94</v>
      </c>
      <c r="T97" s="9" t="s">
        <v>158</v>
      </c>
      <c r="U97" s="9" t="b">
        <v>1</v>
      </c>
    </row>
    <row r="98" spans="1:21" x14ac:dyDescent="0.25">
      <c r="A98" s="9">
        <v>5172</v>
      </c>
      <c r="B98" s="9" t="s">
        <v>59</v>
      </c>
      <c r="C98" s="9" t="s">
        <v>49</v>
      </c>
      <c r="D98" s="9" t="s">
        <v>96</v>
      </c>
      <c r="E98" s="9">
        <v>2012</v>
      </c>
      <c r="F98" s="9">
        <v>2013</v>
      </c>
      <c r="G98" s="9">
        <v>1</v>
      </c>
      <c r="H98" s="9">
        <v>20201.439999999999</v>
      </c>
      <c r="I98" s="9">
        <v>50031</v>
      </c>
      <c r="J98" s="9"/>
      <c r="K98" s="9">
        <v>236.67</v>
      </c>
      <c r="L98" s="9">
        <v>106.81</v>
      </c>
      <c r="M98" s="9">
        <v>70339.25</v>
      </c>
      <c r="N98" s="9">
        <v>28.72</v>
      </c>
      <c r="O98" s="9">
        <v>20348.55</v>
      </c>
      <c r="P98" s="9" t="s">
        <v>92</v>
      </c>
      <c r="Q98" s="9">
        <v>0.52490000000000003</v>
      </c>
      <c r="R98" s="9">
        <v>106.81</v>
      </c>
      <c r="S98" s="9" t="s">
        <v>97</v>
      </c>
      <c r="T98" s="9" t="s">
        <v>159</v>
      </c>
      <c r="U98" s="9" t="b">
        <v>0</v>
      </c>
    </row>
    <row r="99" spans="1:21" x14ac:dyDescent="0.25">
      <c r="A99" s="9">
        <v>5172</v>
      </c>
      <c r="B99" s="9" t="s">
        <v>59</v>
      </c>
      <c r="C99" s="9" t="s">
        <v>49</v>
      </c>
      <c r="D99" s="9" t="s">
        <v>98</v>
      </c>
      <c r="E99" s="9">
        <v>2013</v>
      </c>
      <c r="F99" s="9">
        <v>2014</v>
      </c>
      <c r="G99" s="9">
        <v>1</v>
      </c>
      <c r="H99" s="9">
        <v>20038.650000000001</v>
      </c>
      <c r="I99" s="9">
        <v>50293.18</v>
      </c>
      <c r="J99" s="9"/>
      <c r="K99" s="9">
        <v>185.18</v>
      </c>
      <c r="L99" s="9">
        <v>81.14</v>
      </c>
      <c r="M99" s="9">
        <v>70412.97</v>
      </c>
      <c r="N99" s="9">
        <v>28.46</v>
      </c>
      <c r="O99" s="9">
        <v>20201.439999999999</v>
      </c>
      <c r="P99" s="9" t="s">
        <v>96</v>
      </c>
      <c r="Q99" s="9">
        <v>0.40160000000000001</v>
      </c>
      <c r="R99" s="9">
        <v>81.14</v>
      </c>
      <c r="S99" s="9" t="s">
        <v>89</v>
      </c>
      <c r="T99" s="9" t="s">
        <v>157</v>
      </c>
      <c r="U99" s="9" t="b">
        <v>0</v>
      </c>
    </row>
    <row r="100" spans="1:21" x14ac:dyDescent="0.25">
      <c r="A100" s="9">
        <v>5172</v>
      </c>
      <c r="B100" s="9" t="s">
        <v>59</v>
      </c>
      <c r="C100" s="9" t="s">
        <v>49</v>
      </c>
      <c r="D100" s="9" t="s">
        <v>99</v>
      </c>
      <c r="E100" s="9">
        <v>2014</v>
      </c>
      <c r="F100" s="9">
        <v>2015</v>
      </c>
      <c r="G100" s="9">
        <v>1</v>
      </c>
      <c r="H100" s="9">
        <v>20183.009999999998</v>
      </c>
      <c r="I100" s="9">
        <v>50115.94</v>
      </c>
      <c r="J100" s="9"/>
      <c r="K100" s="9">
        <v>96.98</v>
      </c>
      <c r="L100" s="9">
        <v>62.75</v>
      </c>
      <c r="M100" s="9">
        <v>70361.69</v>
      </c>
      <c r="N100" s="9">
        <v>28.68</v>
      </c>
      <c r="O100" s="9">
        <v>20038.650000000001</v>
      </c>
      <c r="P100" s="9" t="s">
        <v>98</v>
      </c>
      <c r="Q100" s="9">
        <v>0.31309999999999999</v>
      </c>
      <c r="R100" s="9">
        <v>62.75</v>
      </c>
      <c r="S100" s="9" t="s">
        <v>43</v>
      </c>
      <c r="T100" s="9" t="s">
        <v>156</v>
      </c>
      <c r="U100" s="9" t="b">
        <v>0</v>
      </c>
    </row>
    <row r="101" spans="1:21" x14ac:dyDescent="0.25">
      <c r="A101" s="9">
        <v>5172</v>
      </c>
      <c r="B101" s="9" t="s">
        <v>59</v>
      </c>
      <c r="C101" s="9" t="s">
        <v>49</v>
      </c>
      <c r="D101" s="9" t="s">
        <v>100</v>
      </c>
      <c r="E101" s="9">
        <v>2015</v>
      </c>
      <c r="F101" s="9">
        <v>2016</v>
      </c>
      <c r="G101" s="9">
        <v>1</v>
      </c>
      <c r="H101" s="9"/>
      <c r="I101" s="9"/>
      <c r="J101" s="9"/>
      <c r="K101" s="9"/>
      <c r="L101" s="9">
        <v>392.41</v>
      </c>
      <c r="M101" s="9"/>
      <c r="N101" s="9"/>
      <c r="O101" s="9">
        <v>20183.009999999998</v>
      </c>
      <c r="P101" s="9" t="s">
        <v>99</v>
      </c>
      <c r="Q101" s="9">
        <v>1.9442999999999999</v>
      </c>
      <c r="R101" s="9">
        <v>392.41</v>
      </c>
      <c r="S101" s="9" t="s">
        <v>160</v>
      </c>
      <c r="T101" s="9" t="s">
        <v>158</v>
      </c>
      <c r="U101" s="9" t="b">
        <v>1</v>
      </c>
    </row>
    <row r="102" spans="1:21" x14ac:dyDescent="0.25">
      <c r="A102" s="9">
        <v>5172</v>
      </c>
      <c r="B102" s="9" t="s">
        <v>59</v>
      </c>
      <c r="C102" s="9" t="s">
        <v>49</v>
      </c>
      <c r="D102" s="9" t="s">
        <v>102</v>
      </c>
      <c r="E102" s="9">
        <v>2016</v>
      </c>
      <c r="F102" s="9">
        <v>2017</v>
      </c>
      <c r="G102" s="9">
        <v>1</v>
      </c>
      <c r="H102" s="9">
        <v>18568.37</v>
      </c>
      <c r="I102" s="9">
        <v>50421.9</v>
      </c>
      <c r="J102" s="9"/>
      <c r="K102" s="9">
        <v>1202.7</v>
      </c>
      <c r="L102" s="9">
        <v>269.22000000000003</v>
      </c>
      <c r="M102" s="9">
        <v>69259.490000000005</v>
      </c>
      <c r="N102" s="9">
        <v>26.81</v>
      </c>
      <c r="O102" s="9">
        <v>20183.009999999998</v>
      </c>
      <c r="P102" s="9" t="s">
        <v>99</v>
      </c>
      <c r="Q102" s="9">
        <v>1.3339000000000001</v>
      </c>
      <c r="R102" s="9">
        <v>269.22000000000003</v>
      </c>
      <c r="S102" s="9" t="s">
        <v>89</v>
      </c>
      <c r="T102" s="9" t="s">
        <v>157</v>
      </c>
      <c r="U102" s="9" t="b">
        <v>0</v>
      </c>
    </row>
    <row r="103" spans="1:21" x14ac:dyDescent="0.25">
      <c r="A103" s="9">
        <v>5172</v>
      </c>
      <c r="B103" s="9" t="s">
        <v>59</v>
      </c>
      <c r="C103" s="9" t="s">
        <v>49</v>
      </c>
      <c r="D103" s="9" t="s">
        <v>103</v>
      </c>
      <c r="E103" s="9">
        <v>2017</v>
      </c>
      <c r="F103" s="9">
        <v>2018</v>
      </c>
      <c r="G103" s="9">
        <v>1</v>
      </c>
      <c r="H103" s="9">
        <v>18948.66</v>
      </c>
      <c r="I103" s="9">
        <v>51400.19</v>
      </c>
      <c r="J103" s="9"/>
      <c r="K103" s="9">
        <v>74.5</v>
      </c>
      <c r="L103" s="9">
        <v>39.07</v>
      </c>
      <c r="M103" s="9">
        <v>70387.92</v>
      </c>
      <c r="N103" s="9">
        <v>26.92</v>
      </c>
      <c r="O103" s="9">
        <v>18568.37</v>
      </c>
      <c r="P103" s="9" t="s">
        <v>102</v>
      </c>
      <c r="Q103" s="9">
        <v>0.2104</v>
      </c>
      <c r="R103" s="9">
        <v>39.07</v>
      </c>
      <c r="S103" s="9" t="s">
        <v>89</v>
      </c>
      <c r="T103" s="9" t="s">
        <v>157</v>
      </c>
      <c r="U103" s="9" t="b">
        <v>0</v>
      </c>
    </row>
    <row r="104" spans="1:21" x14ac:dyDescent="0.25">
      <c r="A104" s="9">
        <v>5172</v>
      </c>
      <c r="B104" s="9" t="s">
        <v>59</v>
      </c>
      <c r="C104" s="9" t="s">
        <v>49</v>
      </c>
      <c r="D104" s="9" t="s">
        <v>104</v>
      </c>
      <c r="E104" s="9">
        <v>2018</v>
      </c>
      <c r="F104" s="9">
        <v>2019</v>
      </c>
      <c r="G104" s="9">
        <v>1</v>
      </c>
      <c r="H104" s="9"/>
      <c r="I104" s="9"/>
      <c r="J104" s="9"/>
      <c r="K104" s="9"/>
      <c r="L104" s="9">
        <v>37.18</v>
      </c>
      <c r="M104" s="9"/>
      <c r="N104" s="9"/>
      <c r="O104" s="9">
        <v>18948.66</v>
      </c>
      <c r="P104" s="9" t="s">
        <v>103</v>
      </c>
      <c r="Q104" s="9">
        <v>0.19620000000000001</v>
      </c>
      <c r="R104" s="9">
        <v>37.18</v>
      </c>
      <c r="S104" s="9" t="s">
        <v>105</v>
      </c>
      <c r="T104" s="9" t="s">
        <v>158</v>
      </c>
      <c r="U104" s="9" t="b">
        <v>1</v>
      </c>
    </row>
    <row r="105" spans="1:21" x14ac:dyDescent="0.25">
      <c r="A105" s="9">
        <v>5172</v>
      </c>
      <c r="B105" s="9" t="s">
        <v>59</v>
      </c>
      <c r="C105" s="9" t="s">
        <v>49</v>
      </c>
      <c r="D105" s="9" t="s">
        <v>106</v>
      </c>
      <c r="E105" s="9">
        <v>2019</v>
      </c>
      <c r="F105" s="9">
        <v>2020</v>
      </c>
      <c r="G105" s="9">
        <v>1</v>
      </c>
      <c r="H105" s="9">
        <v>18892.91</v>
      </c>
      <c r="I105" s="9">
        <v>51523.97</v>
      </c>
      <c r="J105" s="9"/>
      <c r="K105" s="9">
        <v>10.62</v>
      </c>
      <c r="L105" s="9">
        <v>35.299999999999997</v>
      </c>
      <c r="M105" s="9">
        <v>70452.179999999993</v>
      </c>
      <c r="N105" s="9">
        <v>26.82</v>
      </c>
      <c r="O105" s="9">
        <v>18948.66</v>
      </c>
      <c r="P105" s="9" t="s">
        <v>103</v>
      </c>
      <c r="Q105" s="9">
        <v>0.18629999999999999</v>
      </c>
      <c r="R105" s="9">
        <v>35.299999999999997</v>
      </c>
      <c r="S105" s="9" t="s">
        <v>89</v>
      </c>
      <c r="T105" s="9" t="s">
        <v>157</v>
      </c>
      <c r="U105" s="9" t="b">
        <v>0</v>
      </c>
    </row>
    <row r="106" spans="1:21" x14ac:dyDescent="0.25">
      <c r="A106" s="9">
        <v>5172</v>
      </c>
      <c r="B106" s="9" t="s">
        <v>59</v>
      </c>
      <c r="C106" s="9" t="s">
        <v>49</v>
      </c>
      <c r="D106" s="9" t="s">
        <v>107</v>
      </c>
      <c r="E106" s="9">
        <v>2020</v>
      </c>
      <c r="F106" s="9">
        <v>2021</v>
      </c>
      <c r="G106" s="9">
        <v>1</v>
      </c>
      <c r="H106" s="9">
        <v>18850.580000000002</v>
      </c>
      <c r="I106" s="9">
        <v>51560.9</v>
      </c>
      <c r="J106" s="9"/>
      <c r="K106" s="9">
        <v>35.14</v>
      </c>
      <c r="L106" s="9">
        <v>16.190000000000001</v>
      </c>
      <c r="M106" s="9">
        <v>70427.67</v>
      </c>
      <c r="N106" s="9">
        <v>26.77</v>
      </c>
      <c r="O106" s="9">
        <v>18892.91</v>
      </c>
      <c r="P106" s="9" t="s">
        <v>106</v>
      </c>
      <c r="Q106" s="9">
        <v>8.5699999999999998E-2</v>
      </c>
      <c r="R106" s="9">
        <v>16.190000000000001</v>
      </c>
      <c r="S106" s="9" t="s">
        <v>89</v>
      </c>
      <c r="T106" s="9" t="s">
        <v>157</v>
      </c>
      <c r="U106" s="9" t="b">
        <v>0</v>
      </c>
    </row>
    <row r="107" spans="1:21" x14ac:dyDescent="0.25">
      <c r="A107" s="9">
        <v>5172</v>
      </c>
      <c r="B107" s="9" t="s">
        <v>59</v>
      </c>
      <c r="C107" s="9" t="s">
        <v>49</v>
      </c>
      <c r="D107" s="9" t="s">
        <v>108</v>
      </c>
      <c r="E107" s="9">
        <v>2021</v>
      </c>
      <c r="F107" s="9">
        <v>2022</v>
      </c>
      <c r="G107" s="9">
        <v>1</v>
      </c>
      <c r="H107" s="9">
        <v>18679.47</v>
      </c>
      <c r="I107" s="9">
        <v>51623.24</v>
      </c>
      <c r="J107" s="9"/>
      <c r="K107" s="9">
        <v>56.12</v>
      </c>
      <c r="L107" s="9">
        <v>103.95</v>
      </c>
      <c r="M107" s="9">
        <v>70406.66</v>
      </c>
      <c r="N107" s="9">
        <v>26.53</v>
      </c>
      <c r="O107" s="9">
        <v>18850.580000000002</v>
      </c>
      <c r="P107" s="9" t="s">
        <v>107</v>
      </c>
      <c r="Q107" s="9">
        <v>0.55149999999999999</v>
      </c>
      <c r="R107" s="9">
        <v>103.95</v>
      </c>
      <c r="S107" s="9" t="s">
        <v>89</v>
      </c>
      <c r="T107" s="9" t="s">
        <v>157</v>
      </c>
      <c r="U107" s="9" t="b">
        <v>0</v>
      </c>
    </row>
    <row r="108" spans="1:21" x14ac:dyDescent="0.25">
      <c r="A108" s="9">
        <v>5172</v>
      </c>
      <c r="B108" s="9" t="s">
        <v>59</v>
      </c>
      <c r="C108" s="9" t="s">
        <v>49</v>
      </c>
      <c r="D108" s="9" t="s">
        <v>109</v>
      </c>
      <c r="E108" s="9">
        <v>2022</v>
      </c>
      <c r="F108" s="9">
        <v>2023</v>
      </c>
      <c r="G108" s="9">
        <v>1</v>
      </c>
      <c r="H108" s="9">
        <v>18696.689999999999</v>
      </c>
      <c r="I108" s="9">
        <v>51748.57</v>
      </c>
      <c r="J108" s="9"/>
      <c r="K108" s="9"/>
      <c r="L108" s="9">
        <v>17.48</v>
      </c>
      <c r="M108" s="9">
        <v>70462.740000000005</v>
      </c>
      <c r="N108" s="9">
        <v>26.53</v>
      </c>
      <c r="O108" s="9">
        <v>18679.47</v>
      </c>
      <c r="P108" s="9" t="s">
        <v>108</v>
      </c>
      <c r="Q108" s="9">
        <v>9.3600000000000003E-2</v>
      </c>
      <c r="R108" s="9">
        <v>17.48</v>
      </c>
      <c r="S108" s="9" t="s">
        <v>89</v>
      </c>
      <c r="T108" s="9" t="s">
        <v>157</v>
      </c>
      <c r="U108" s="9" t="b">
        <v>0</v>
      </c>
    </row>
    <row r="109" spans="1:21" x14ac:dyDescent="0.25">
      <c r="A109" s="9">
        <v>5172</v>
      </c>
      <c r="B109" s="9" t="s">
        <v>59</v>
      </c>
      <c r="C109" s="9" t="s">
        <v>49</v>
      </c>
      <c r="D109" s="9" t="s">
        <v>110</v>
      </c>
      <c r="E109" s="9">
        <v>2023</v>
      </c>
      <c r="F109" s="9">
        <v>2024</v>
      </c>
      <c r="G109" s="9">
        <v>1</v>
      </c>
      <c r="H109" s="9"/>
      <c r="I109" s="9"/>
      <c r="J109" s="9"/>
      <c r="K109" s="9"/>
      <c r="L109" s="9">
        <v>47.16</v>
      </c>
      <c r="M109" s="9"/>
      <c r="N109" s="9"/>
      <c r="O109" s="9">
        <v>18696.689999999999</v>
      </c>
      <c r="P109" s="9" t="s">
        <v>109</v>
      </c>
      <c r="Q109" s="9">
        <v>0.25219999999999998</v>
      </c>
      <c r="R109" s="9">
        <v>47.16</v>
      </c>
      <c r="S109" s="9" t="s">
        <v>105</v>
      </c>
      <c r="T109" s="9" t="s">
        <v>158</v>
      </c>
      <c r="U109" s="9" t="b">
        <v>1</v>
      </c>
    </row>
    <row r="110" spans="1:21" x14ac:dyDescent="0.25">
      <c r="A110" s="9">
        <v>5234</v>
      </c>
      <c r="B110" s="9" t="s">
        <v>61</v>
      </c>
      <c r="C110" s="9" t="s">
        <v>40</v>
      </c>
      <c r="D110" s="9" t="s">
        <v>41</v>
      </c>
      <c r="E110" s="9">
        <v>2000</v>
      </c>
      <c r="F110" s="9">
        <v>2002</v>
      </c>
      <c r="G110" s="9">
        <v>2</v>
      </c>
      <c r="H110" s="9">
        <v>142038.26</v>
      </c>
      <c r="I110" s="9">
        <v>48785.36</v>
      </c>
      <c r="J110" s="9"/>
      <c r="K110" s="9">
        <v>4218.1400000000003</v>
      </c>
      <c r="L110" s="9">
        <v>181.34</v>
      </c>
      <c r="M110" s="9">
        <v>191004.96</v>
      </c>
      <c r="N110" s="9">
        <v>74.36</v>
      </c>
      <c r="O110" s="9"/>
      <c r="P110" s="9"/>
      <c r="Q110" s="9"/>
      <c r="R110" s="9">
        <v>181.34</v>
      </c>
      <c r="S110" s="9" t="s">
        <v>43</v>
      </c>
      <c r="T110" s="9" t="s">
        <v>156</v>
      </c>
      <c r="U110" s="9" t="b">
        <v>0</v>
      </c>
    </row>
    <row r="111" spans="1:21" x14ac:dyDescent="0.25">
      <c r="A111" s="9">
        <v>5234</v>
      </c>
      <c r="B111" s="9" t="s">
        <v>61</v>
      </c>
      <c r="C111" s="9" t="s">
        <v>40</v>
      </c>
      <c r="D111" s="9" t="s">
        <v>88</v>
      </c>
      <c r="E111" s="9">
        <v>2002</v>
      </c>
      <c r="F111" s="9">
        <v>2004</v>
      </c>
      <c r="G111" s="9">
        <v>2</v>
      </c>
      <c r="H111" s="9">
        <v>142009.35</v>
      </c>
      <c r="I111" s="9">
        <v>48744.41</v>
      </c>
      <c r="J111" s="9"/>
      <c r="K111" s="9">
        <v>3897.7</v>
      </c>
      <c r="L111" s="9">
        <v>270.42</v>
      </c>
      <c r="M111" s="9">
        <v>191024.18</v>
      </c>
      <c r="N111" s="9">
        <v>74.34</v>
      </c>
      <c r="O111" s="9">
        <v>142038.26</v>
      </c>
      <c r="P111" s="9" t="s">
        <v>41</v>
      </c>
      <c r="Q111" s="9">
        <v>9.5200000000000007E-2</v>
      </c>
      <c r="R111" s="9">
        <v>270.42</v>
      </c>
      <c r="S111" s="9" t="s">
        <v>89</v>
      </c>
      <c r="T111" s="9" t="s">
        <v>157</v>
      </c>
      <c r="U111" s="9" t="b">
        <v>0</v>
      </c>
    </row>
    <row r="112" spans="1:21" x14ac:dyDescent="0.25">
      <c r="A112" s="9">
        <v>5234</v>
      </c>
      <c r="B112" s="9" t="s">
        <v>61</v>
      </c>
      <c r="C112" s="9" t="s">
        <v>40</v>
      </c>
      <c r="D112" s="9" t="s">
        <v>90</v>
      </c>
      <c r="E112" s="9">
        <v>2004</v>
      </c>
      <c r="F112" s="9">
        <v>2006</v>
      </c>
      <c r="G112" s="9">
        <v>2</v>
      </c>
      <c r="H112" s="9">
        <v>143764.41</v>
      </c>
      <c r="I112" s="9">
        <v>49244.42</v>
      </c>
      <c r="J112" s="9"/>
      <c r="K112" s="9">
        <v>1799.15</v>
      </c>
      <c r="L112" s="9">
        <v>113.98</v>
      </c>
      <c r="M112" s="9">
        <v>193122.81</v>
      </c>
      <c r="N112" s="9">
        <v>74.44</v>
      </c>
      <c r="O112" s="9">
        <v>142009.35</v>
      </c>
      <c r="P112" s="9" t="s">
        <v>88</v>
      </c>
      <c r="Q112" s="9">
        <v>4.0099999999999997E-2</v>
      </c>
      <c r="R112" s="9">
        <v>113.98</v>
      </c>
      <c r="S112" s="9" t="s">
        <v>89</v>
      </c>
      <c r="T112" s="9" t="s">
        <v>157</v>
      </c>
      <c r="U112" s="9" t="b">
        <v>0</v>
      </c>
    </row>
    <row r="113" spans="1:21" x14ac:dyDescent="0.25">
      <c r="A113" s="9">
        <v>5234</v>
      </c>
      <c r="B113" s="9" t="s">
        <v>61</v>
      </c>
      <c r="C113" s="9" t="s">
        <v>40</v>
      </c>
      <c r="D113" s="9" t="s">
        <v>91</v>
      </c>
      <c r="E113" s="9">
        <v>2006</v>
      </c>
      <c r="F113" s="9">
        <v>2008</v>
      </c>
      <c r="G113" s="9">
        <v>2</v>
      </c>
      <c r="H113" s="9">
        <v>142811.72</v>
      </c>
      <c r="I113" s="9">
        <v>49325.73</v>
      </c>
      <c r="J113" s="9"/>
      <c r="K113" s="9">
        <v>2610.0700000000002</v>
      </c>
      <c r="L113" s="9">
        <v>174.58</v>
      </c>
      <c r="M113" s="9">
        <v>192312.03</v>
      </c>
      <c r="N113" s="9">
        <v>74.260000000000005</v>
      </c>
      <c r="O113" s="9">
        <v>143764.41</v>
      </c>
      <c r="P113" s="9" t="s">
        <v>90</v>
      </c>
      <c r="Q113" s="9">
        <v>6.0699999999999997E-2</v>
      </c>
      <c r="R113" s="9">
        <v>174.58</v>
      </c>
      <c r="S113" s="9" t="s">
        <v>89</v>
      </c>
      <c r="T113" s="9" t="s">
        <v>157</v>
      </c>
      <c r="U113" s="9" t="b">
        <v>0</v>
      </c>
    </row>
    <row r="114" spans="1:21" x14ac:dyDescent="0.25">
      <c r="A114" s="9">
        <v>5234</v>
      </c>
      <c r="B114" s="9" t="s">
        <v>61</v>
      </c>
      <c r="C114" s="9" t="s">
        <v>40</v>
      </c>
      <c r="D114" s="9" t="s">
        <v>92</v>
      </c>
      <c r="E114" s="9">
        <v>2008</v>
      </c>
      <c r="F114" s="9">
        <v>2010</v>
      </c>
      <c r="G114" s="9">
        <v>2</v>
      </c>
      <c r="H114" s="9">
        <v>144140.15</v>
      </c>
      <c r="I114" s="9">
        <v>49145.68</v>
      </c>
      <c r="J114" s="9">
        <v>1.66</v>
      </c>
      <c r="K114" s="9">
        <v>1480.94</v>
      </c>
      <c r="L114" s="9">
        <v>153.79</v>
      </c>
      <c r="M114" s="9">
        <v>193441.28</v>
      </c>
      <c r="N114" s="9">
        <v>74.510000000000005</v>
      </c>
      <c r="O114" s="9">
        <v>142811.72</v>
      </c>
      <c r="P114" s="9" t="s">
        <v>91</v>
      </c>
      <c r="Q114" s="9">
        <v>5.3800000000000001E-2</v>
      </c>
      <c r="R114" s="9">
        <v>152.12</v>
      </c>
      <c r="S114" s="9" t="s">
        <v>89</v>
      </c>
      <c r="T114" s="9" t="s">
        <v>157</v>
      </c>
      <c r="U114" s="9" t="b">
        <v>0</v>
      </c>
    </row>
    <row r="115" spans="1:21" x14ac:dyDescent="0.25">
      <c r="A115" s="9">
        <v>5234</v>
      </c>
      <c r="B115" s="9" t="s">
        <v>61</v>
      </c>
      <c r="C115" s="9" t="s">
        <v>40</v>
      </c>
      <c r="D115" s="9" t="s">
        <v>93</v>
      </c>
      <c r="E115" s="9">
        <v>2010</v>
      </c>
      <c r="F115" s="9">
        <v>2012</v>
      </c>
      <c r="G115" s="9">
        <v>2</v>
      </c>
      <c r="H115" s="9"/>
      <c r="I115" s="9"/>
      <c r="J115" s="9"/>
      <c r="K115" s="9"/>
      <c r="L115" s="9">
        <v>331.11</v>
      </c>
      <c r="M115" s="9"/>
      <c r="N115" s="9"/>
      <c r="O115" s="9">
        <v>144140.15</v>
      </c>
      <c r="P115" s="9" t="s">
        <v>92</v>
      </c>
      <c r="Q115" s="9">
        <v>0.1149</v>
      </c>
      <c r="R115" s="9">
        <v>331.11</v>
      </c>
      <c r="S115" s="9" t="s">
        <v>94</v>
      </c>
      <c r="T115" s="9" t="s">
        <v>158</v>
      </c>
      <c r="U115" s="9" t="b">
        <v>1</v>
      </c>
    </row>
    <row r="116" spans="1:21" x14ac:dyDescent="0.25">
      <c r="A116" s="9">
        <v>5234</v>
      </c>
      <c r="B116" s="9" t="s">
        <v>61</v>
      </c>
      <c r="C116" s="9" t="s">
        <v>40</v>
      </c>
      <c r="D116" s="9" t="s">
        <v>96</v>
      </c>
      <c r="E116" s="9">
        <v>2012</v>
      </c>
      <c r="F116" s="9">
        <v>2013</v>
      </c>
      <c r="G116" s="9">
        <v>1</v>
      </c>
      <c r="H116" s="9">
        <v>139521.18</v>
      </c>
      <c r="I116" s="9">
        <v>48054.83</v>
      </c>
      <c r="J116" s="9"/>
      <c r="K116" s="9">
        <v>7257.44</v>
      </c>
      <c r="L116" s="9">
        <v>317.91000000000003</v>
      </c>
      <c r="M116" s="9">
        <v>187893.92</v>
      </c>
      <c r="N116" s="9">
        <v>74.260000000000005</v>
      </c>
      <c r="O116" s="9">
        <v>144140.15</v>
      </c>
      <c r="P116" s="9" t="s">
        <v>92</v>
      </c>
      <c r="Q116" s="9">
        <v>0.22059999999999999</v>
      </c>
      <c r="R116" s="9">
        <v>317.91000000000003</v>
      </c>
      <c r="S116" s="9" t="s">
        <v>97</v>
      </c>
      <c r="T116" s="9" t="s">
        <v>159</v>
      </c>
      <c r="U116" s="9" t="b">
        <v>0</v>
      </c>
    </row>
    <row r="117" spans="1:21" x14ac:dyDescent="0.25">
      <c r="A117" s="9">
        <v>5234</v>
      </c>
      <c r="B117" s="9" t="s">
        <v>61</v>
      </c>
      <c r="C117" s="9" t="s">
        <v>40</v>
      </c>
      <c r="D117" s="9" t="s">
        <v>98</v>
      </c>
      <c r="E117" s="9">
        <v>2013</v>
      </c>
      <c r="F117" s="9">
        <v>2014</v>
      </c>
      <c r="G117" s="9">
        <v>1</v>
      </c>
      <c r="H117" s="9">
        <v>142821.4</v>
      </c>
      <c r="I117" s="9">
        <v>50748.68</v>
      </c>
      <c r="J117" s="9"/>
      <c r="K117" s="9">
        <v>1219.8800000000001</v>
      </c>
      <c r="L117" s="9">
        <v>392.53</v>
      </c>
      <c r="M117" s="9">
        <v>193962.61</v>
      </c>
      <c r="N117" s="9">
        <v>73.63</v>
      </c>
      <c r="O117" s="9">
        <v>139521.18</v>
      </c>
      <c r="P117" s="9" t="s">
        <v>96</v>
      </c>
      <c r="Q117" s="9">
        <v>0.28129999999999999</v>
      </c>
      <c r="R117" s="9">
        <v>392.53</v>
      </c>
      <c r="S117" s="9" t="s">
        <v>89</v>
      </c>
      <c r="T117" s="9" t="s">
        <v>157</v>
      </c>
      <c r="U117" s="9" t="b">
        <v>0</v>
      </c>
    </row>
    <row r="118" spans="1:21" x14ac:dyDescent="0.25">
      <c r="A118" s="9">
        <v>5234</v>
      </c>
      <c r="B118" s="9" t="s">
        <v>61</v>
      </c>
      <c r="C118" s="9" t="s">
        <v>40</v>
      </c>
      <c r="D118" s="9" t="s">
        <v>99</v>
      </c>
      <c r="E118" s="9">
        <v>2014</v>
      </c>
      <c r="F118" s="9">
        <v>2015</v>
      </c>
      <c r="G118" s="9">
        <v>1</v>
      </c>
      <c r="H118" s="9">
        <v>131943.82999999999</v>
      </c>
      <c r="I118" s="9">
        <v>50351.33</v>
      </c>
      <c r="J118" s="9"/>
      <c r="K118" s="9">
        <v>12328.94</v>
      </c>
      <c r="L118" s="9">
        <v>262.17</v>
      </c>
      <c r="M118" s="9">
        <v>182557.34</v>
      </c>
      <c r="N118" s="9">
        <v>72.28</v>
      </c>
      <c r="O118" s="9">
        <v>142821.4</v>
      </c>
      <c r="P118" s="9" t="s">
        <v>98</v>
      </c>
      <c r="Q118" s="9">
        <v>0.18360000000000001</v>
      </c>
      <c r="R118" s="9">
        <v>262.17</v>
      </c>
      <c r="S118" s="9" t="s">
        <v>43</v>
      </c>
      <c r="T118" s="9" t="s">
        <v>156</v>
      </c>
      <c r="U118" s="9" t="b">
        <v>0</v>
      </c>
    </row>
    <row r="119" spans="1:21" x14ac:dyDescent="0.25">
      <c r="A119" s="9">
        <v>5234</v>
      </c>
      <c r="B119" s="9" t="s">
        <v>61</v>
      </c>
      <c r="C119" s="9" t="s">
        <v>40</v>
      </c>
      <c r="D119" s="9" t="s">
        <v>100</v>
      </c>
      <c r="E119" s="9">
        <v>2015</v>
      </c>
      <c r="F119" s="9">
        <v>2016</v>
      </c>
      <c r="G119" s="9">
        <v>1</v>
      </c>
      <c r="H119" s="9"/>
      <c r="I119" s="9"/>
      <c r="J119" s="9"/>
      <c r="K119" s="9"/>
      <c r="L119" s="9">
        <v>176.04</v>
      </c>
      <c r="M119" s="9"/>
      <c r="N119" s="9"/>
      <c r="O119" s="9">
        <v>131943.82999999999</v>
      </c>
      <c r="P119" s="9" t="s">
        <v>99</v>
      </c>
      <c r="Q119" s="9">
        <v>0.13339999999999999</v>
      </c>
      <c r="R119" s="9">
        <v>176.04</v>
      </c>
      <c r="S119" s="9" t="s">
        <v>160</v>
      </c>
      <c r="T119" s="9" t="s">
        <v>158</v>
      </c>
      <c r="U119" s="9" t="b">
        <v>1</v>
      </c>
    </row>
    <row r="120" spans="1:21" x14ac:dyDescent="0.25">
      <c r="A120" s="9">
        <v>5234</v>
      </c>
      <c r="B120" s="9" t="s">
        <v>61</v>
      </c>
      <c r="C120" s="9" t="s">
        <v>40</v>
      </c>
      <c r="D120" s="9" t="s">
        <v>102</v>
      </c>
      <c r="E120" s="9">
        <v>2016</v>
      </c>
      <c r="F120" s="9">
        <v>2017</v>
      </c>
      <c r="G120" s="9">
        <v>1</v>
      </c>
      <c r="H120" s="9">
        <v>120185.76</v>
      </c>
      <c r="I120" s="9">
        <v>51551.77</v>
      </c>
      <c r="J120" s="9"/>
      <c r="K120" s="9">
        <v>22791.71</v>
      </c>
      <c r="L120" s="9">
        <v>392.7</v>
      </c>
      <c r="M120" s="9">
        <v>172130.23</v>
      </c>
      <c r="N120" s="9">
        <v>69.819999999999993</v>
      </c>
      <c r="O120" s="9">
        <v>131943.82999999999</v>
      </c>
      <c r="P120" s="9" t="s">
        <v>99</v>
      </c>
      <c r="Q120" s="9">
        <v>0.29759999999999998</v>
      </c>
      <c r="R120" s="9">
        <v>392.7</v>
      </c>
      <c r="S120" s="9" t="s">
        <v>89</v>
      </c>
      <c r="T120" s="9" t="s">
        <v>157</v>
      </c>
      <c r="U120" s="9" t="b">
        <v>0</v>
      </c>
    </row>
    <row r="121" spans="1:21" x14ac:dyDescent="0.25">
      <c r="A121" s="9">
        <v>5234</v>
      </c>
      <c r="B121" s="9" t="s">
        <v>61</v>
      </c>
      <c r="C121" s="9" t="s">
        <v>40</v>
      </c>
      <c r="D121" s="9" t="s">
        <v>103</v>
      </c>
      <c r="E121" s="9">
        <v>2017</v>
      </c>
      <c r="F121" s="9">
        <v>2018</v>
      </c>
      <c r="G121" s="9">
        <v>1</v>
      </c>
      <c r="H121" s="9">
        <v>138441</v>
      </c>
      <c r="I121" s="9">
        <v>53674.559999999998</v>
      </c>
      <c r="J121" s="9">
        <v>10.58</v>
      </c>
      <c r="K121" s="9">
        <v>2628.06</v>
      </c>
      <c r="L121" s="9">
        <v>168.52</v>
      </c>
      <c r="M121" s="9">
        <v>192294.65</v>
      </c>
      <c r="N121" s="9">
        <v>71.989999999999995</v>
      </c>
      <c r="O121" s="9">
        <v>120185.76</v>
      </c>
      <c r="P121" s="9" t="s">
        <v>102</v>
      </c>
      <c r="Q121" s="9">
        <v>0.14019999999999999</v>
      </c>
      <c r="R121" s="9">
        <v>157.94</v>
      </c>
      <c r="S121" s="9" t="s">
        <v>89</v>
      </c>
      <c r="T121" s="9" t="s">
        <v>157</v>
      </c>
      <c r="U121" s="9" t="b">
        <v>0</v>
      </c>
    </row>
    <row r="122" spans="1:21" x14ac:dyDescent="0.25">
      <c r="A122" s="9">
        <v>5234</v>
      </c>
      <c r="B122" s="9" t="s">
        <v>61</v>
      </c>
      <c r="C122" s="9" t="s">
        <v>40</v>
      </c>
      <c r="D122" s="9" t="s">
        <v>104</v>
      </c>
      <c r="E122" s="9">
        <v>2018</v>
      </c>
      <c r="F122" s="9">
        <v>2019</v>
      </c>
      <c r="G122" s="9">
        <v>1</v>
      </c>
      <c r="H122" s="9"/>
      <c r="I122" s="9"/>
      <c r="J122" s="9"/>
      <c r="K122" s="9"/>
      <c r="L122" s="9">
        <v>309.13</v>
      </c>
      <c r="M122" s="9"/>
      <c r="N122" s="9"/>
      <c r="O122" s="9">
        <v>138441</v>
      </c>
      <c r="P122" s="9" t="s">
        <v>103</v>
      </c>
      <c r="Q122" s="9">
        <v>0.2233</v>
      </c>
      <c r="R122" s="9">
        <v>309.13</v>
      </c>
      <c r="S122" s="9" t="s">
        <v>105</v>
      </c>
      <c r="T122" s="9" t="s">
        <v>158</v>
      </c>
      <c r="U122" s="9" t="b">
        <v>1</v>
      </c>
    </row>
    <row r="123" spans="1:21" x14ac:dyDescent="0.25">
      <c r="A123" s="9">
        <v>5234</v>
      </c>
      <c r="B123" s="9" t="s">
        <v>61</v>
      </c>
      <c r="C123" s="9" t="s">
        <v>40</v>
      </c>
      <c r="D123" s="9" t="s">
        <v>106</v>
      </c>
      <c r="E123" s="9">
        <v>2019</v>
      </c>
      <c r="F123" s="9">
        <v>2020</v>
      </c>
      <c r="G123" s="9">
        <v>1</v>
      </c>
      <c r="H123" s="9">
        <v>139681.66</v>
      </c>
      <c r="I123" s="9">
        <v>54755.1</v>
      </c>
      <c r="J123" s="9"/>
      <c r="K123" s="9">
        <v>35.299999999999997</v>
      </c>
      <c r="L123" s="9">
        <v>449.74</v>
      </c>
      <c r="M123" s="9">
        <v>194886.5</v>
      </c>
      <c r="N123" s="9">
        <v>71.67</v>
      </c>
      <c r="O123" s="9">
        <v>138441</v>
      </c>
      <c r="P123" s="9" t="s">
        <v>103</v>
      </c>
      <c r="Q123" s="9">
        <v>0.32490000000000002</v>
      </c>
      <c r="R123" s="9">
        <v>449.74</v>
      </c>
      <c r="S123" s="9" t="s">
        <v>89</v>
      </c>
      <c r="T123" s="9" t="s">
        <v>157</v>
      </c>
      <c r="U123" s="9" t="b">
        <v>0</v>
      </c>
    </row>
    <row r="124" spans="1:21" x14ac:dyDescent="0.25">
      <c r="A124" s="9">
        <v>5234</v>
      </c>
      <c r="B124" s="9" t="s">
        <v>61</v>
      </c>
      <c r="C124" s="9" t="s">
        <v>40</v>
      </c>
      <c r="D124" s="9" t="s">
        <v>107</v>
      </c>
      <c r="E124" s="9">
        <v>2020</v>
      </c>
      <c r="F124" s="9">
        <v>2021</v>
      </c>
      <c r="G124" s="9">
        <v>1</v>
      </c>
      <c r="H124" s="9">
        <v>139453.1</v>
      </c>
      <c r="I124" s="9">
        <v>55215.54</v>
      </c>
      <c r="J124" s="9"/>
      <c r="K124" s="9">
        <v>30.64</v>
      </c>
      <c r="L124" s="9">
        <v>222.52</v>
      </c>
      <c r="M124" s="9">
        <v>194891.16</v>
      </c>
      <c r="N124" s="9">
        <v>71.55</v>
      </c>
      <c r="O124" s="9">
        <v>139681.66</v>
      </c>
      <c r="P124" s="9" t="s">
        <v>106</v>
      </c>
      <c r="Q124" s="9">
        <v>0.1593</v>
      </c>
      <c r="R124" s="9">
        <v>222.52</v>
      </c>
      <c r="S124" s="9" t="s">
        <v>89</v>
      </c>
      <c r="T124" s="9" t="s">
        <v>157</v>
      </c>
      <c r="U124" s="9" t="b">
        <v>0</v>
      </c>
    </row>
    <row r="125" spans="1:21" x14ac:dyDescent="0.25">
      <c r="A125" s="9">
        <v>5234</v>
      </c>
      <c r="B125" s="9" t="s">
        <v>61</v>
      </c>
      <c r="C125" s="9" t="s">
        <v>40</v>
      </c>
      <c r="D125" s="9" t="s">
        <v>108</v>
      </c>
      <c r="E125" s="9">
        <v>2021</v>
      </c>
      <c r="F125" s="9">
        <v>2022</v>
      </c>
      <c r="G125" s="9">
        <v>1</v>
      </c>
      <c r="H125" s="9">
        <v>137455.69</v>
      </c>
      <c r="I125" s="9">
        <v>55711.43</v>
      </c>
      <c r="J125" s="9"/>
      <c r="K125" s="9">
        <v>1175.47</v>
      </c>
      <c r="L125" s="9">
        <v>579.52</v>
      </c>
      <c r="M125" s="9">
        <v>193746.65</v>
      </c>
      <c r="N125" s="9">
        <v>70.95</v>
      </c>
      <c r="O125" s="9">
        <v>139453.1</v>
      </c>
      <c r="P125" s="9" t="s">
        <v>107</v>
      </c>
      <c r="Q125" s="9">
        <v>0.41560000000000002</v>
      </c>
      <c r="R125" s="9">
        <v>579.52</v>
      </c>
      <c r="S125" s="9" t="s">
        <v>89</v>
      </c>
      <c r="T125" s="9" t="s">
        <v>157</v>
      </c>
      <c r="U125" s="9" t="b">
        <v>0</v>
      </c>
    </row>
    <row r="126" spans="1:21" x14ac:dyDescent="0.25">
      <c r="A126" s="9">
        <v>5234</v>
      </c>
      <c r="B126" s="9" t="s">
        <v>61</v>
      </c>
      <c r="C126" s="9" t="s">
        <v>40</v>
      </c>
      <c r="D126" s="9" t="s">
        <v>109</v>
      </c>
      <c r="E126" s="9">
        <v>2022</v>
      </c>
      <c r="F126" s="9">
        <v>2023</v>
      </c>
      <c r="G126" s="9">
        <v>1</v>
      </c>
      <c r="H126" s="9">
        <v>138373.42000000001</v>
      </c>
      <c r="I126" s="9">
        <v>56382.39</v>
      </c>
      <c r="J126" s="9"/>
      <c r="K126" s="9"/>
      <c r="L126" s="9">
        <v>166.36</v>
      </c>
      <c r="M126" s="9">
        <v>194922.17</v>
      </c>
      <c r="N126" s="9">
        <v>70.989999999999995</v>
      </c>
      <c r="O126" s="9">
        <v>137455.69</v>
      </c>
      <c r="P126" s="9" t="s">
        <v>108</v>
      </c>
      <c r="Q126" s="9">
        <v>0.121</v>
      </c>
      <c r="R126" s="9">
        <v>166.36</v>
      </c>
      <c r="S126" s="9" t="s">
        <v>89</v>
      </c>
      <c r="T126" s="9" t="s">
        <v>157</v>
      </c>
      <c r="U126" s="9" t="b">
        <v>0</v>
      </c>
    </row>
    <row r="127" spans="1:21" x14ac:dyDescent="0.25">
      <c r="A127" s="9">
        <v>5234</v>
      </c>
      <c r="B127" s="9" t="s">
        <v>61</v>
      </c>
      <c r="C127" s="9" t="s">
        <v>40</v>
      </c>
      <c r="D127" s="9" t="s">
        <v>110</v>
      </c>
      <c r="E127" s="9">
        <v>2023</v>
      </c>
      <c r="F127" s="9">
        <v>2024</v>
      </c>
      <c r="G127" s="9">
        <v>1</v>
      </c>
      <c r="H127" s="9"/>
      <c r="I127" s="9"/>
      <c r="J127" s="9"/>
      <c r="K127" s="9"/>
      <c r="L127" s="9">
        <v>266.64</v>
      </c>
      <c r="M127" s="9"/>
      <c r="N127" s="9"/>
      <c r="O127" s="9">
        <v>138373.42000000001</v>
      </c>
      <c r="P127" s="9" t="s">
        <v>109</v>
      </c>
      <c r="Q127" s="9">
        <v>0.19270000000000001</v>
      </c>
      <c r="R127" s="9">
        <v>266.64</v>
      </c>
      <c r="S127" s="9" t="s">
        <v>105</v>
      </c>
      <c r="T127" s="9" t="s">
        <v>158</v>
      </c>
      <c r="U127" s="9" t="b">
        <v>1</v>
      </c>
    </row>
    <row r="128" spans="1:21" x14ac:dyDescent="0.25">
      <c r="A128" s="9">
        <v>5284</v>
      </c>
      <c r="B128" s="9" t="s">
        <v>63</v>
      </c>
      <c r="C128" s="9" t="s">
        <v>40</v>
      </c>
      <c r="D128" s="9" t="s">
        <v>41</v>
      </c>
      <c r="E128" s="9">
        <v>2000</v>
      </c>
      <c r="F128" s="9">
        <v>2002</v>
      </c>
      <c r="G128" s="9">
        <v>2</v>
      </c>
      <c r="H128" s="9">
        <v>91701.19</v>
      </c>
      <c r="I128" s="9">
        <v>45248.33</v>
      </c>
      <c r="J128" s="9">
        <v>0.63</v>
      </c>
      <c r="K128" s="9">
        <v>1409.68</v>
      </c>
      <c r="L128" s="9">
        <v>85.78</v>
      </c>
      <c r="M128" s="9">
        <v>137035.92000000001</v>
      </c>
      <c r="N128" s="9">
        <v>66.92</v>
      </c>
      <c r="O128" s="9"/>
      <c r="P128" s="9"/>
      <c r="Q128" s="9"/>
      <c r="R128" s="9">
        <v>85.15</v>
      </c>
      <c r="S128" s="9" t="s">
        <v>43</v>
      </c>
      <c r="T128" s="9" t="s">
        <v>156</v>
      </c>
      <c r="U128" s="9" t="b">
        <v>0</v>
      </c>
    </row>
    <row r="129" spans="1:21" x14ac:dyDescent="0.25">
      <c r="A129" s="9">
        <v>5284</v>
      </c>
      <c r="B129" s="9" t="s">
        <v>63</v>
      </c>
      <c r="C129" s="9" t="s">
        <v>40</v>
      </c>
      <c r="D129" s="9" t="s">
        <v>88</v>
      </c>
      <c r="E129" s="9">
        <v>2002</v>
      </c>
      <c r="F129" s="9">
        <v>2004</v>
      </c>
      <c r="G129" s="9">
        <v>2</v>
      </c>
      <c r="H129" s="9">
        <v>91470.75</v>
      </c>
      <c r="I129" s="9">
        <v>45103.37</v>
      </c>
      <c r="J129" s="9"/>
      <c r="K129" s="9">
        <v>1574.39</v>
      </c>
      <c r="L129" s="9">
        <v>76.94</v>
      </c>
      <c r="M129" s="9">
        <v>136651.07</v>
      </c>
      <c r="N129" s="9">
        <v>66.94</v>
      </c>
      <c r="O129" s="9">
        <v>91701.19</v>
      </c>
      <c r="P129" s="9" t="s">
        <v>41</v>
      </c>
      <c r="Q129" s="9">
        <v>4.2000000000000003E-2</v>
      </c>
      <c r="R129" s="9">
        <v>76.94</v>
      </c>
      <c r="S129" s="9" t="s">
        <v>89</v>
      </c>
      <c r="T129" s="9" t="s">
        <v>157</v>
      </c>
      <c r="U129" s="9" t="b">
        <v>0</v>
      </c>
    </row>
    <row r="130" spans="1:21" x14ac:dyDescent="0.25">
      <c r="A130" s="9">
        <v>5284</v>
      </c>
      <c r="B130" s="9" t="s">
        <v>63</v>
      </c>
      <c r="C130" s="9" t="s">
        <v>40</v>
      </c>
      <c r="D130" s="9" t="s">
        <v>90</v>
      </c>
      <c r="E130" s="9">
        <v>2004</v>
      </c>
      <c r="F130" s="9">
        <v>2006</v>
      </c>
      <c r="G130" s="9">
        <v>2</v>
      </c>
      <c r="H130" s="9">
        <v>92274.91</v>
      </c>
      <c r="I130" s="9">
        <v>45320.23</v>
      </c>
      <c r="J130" s="9"/>
      <c r="K130" s="9">
        <v>586.97</v>
      </c>
      <c r="L130" s="9">
        <v>43.35</v>
      </c>
      <c r="M130" s="9">
        <v>137638.48000000001</v>
      </c>
      <c r="N130" s="9">
        <v>67.040000000000006</v>
      </c>
      <c r="O130" s="9">
        <v>91470.75</v>
      </c>
      <c r="P130" s="9" t="s">
        <v>88</v>
      </c>
      <c r="Q130" s="9">
        <v>2.3699999999999999E-2</v>
      </c>
      <c r="R130" s="9">
        <v>43.35</v>
      </c>
      <c r="S130" s="9" t="s">
        <v>89</v>
      </c>
      <c r="T130" s="9" t="s">
        <v>157</v>
      </c>
      <c r="U130" s="9" t="b">
        <v>0</v>
      </c>
    </row>
    <row r="131" spans="1:21" x14ac:dyDescent="0.25">
      <c r="A131" s="9">
        <v>5284</v>
      </c>
      <c r="B131" s="9" t="s">
        <v>63</v>
      </c>
      <c r="C131" s="9" t="s">
        <v>40</v>
      </c>
      <c r="D131" s="9" t="s">
        <v>91</v>
      </c>
      <c r="E131" s="9">
        <v>2006</v>
      </c>
      <c r="F131" s="9">
        <v>2008</v>
      </c>
      <c r="G131" s="9">
        <v>2</v>
      </c>
      <c r="H131" s="9">
        <v>92024.28</v>
      </c>
      <c r="I131" s="9">
        <v>45398.91</v>
      </c>
      <c r="J131" s="9"/>
      <c r="K131" s="9">
        <v>753</v>
      </c>
      <c r="L131" s="9">
        <v>49.27</v>
      </c>
      <c r="M131" s="9">
        <v>137472.46</v>
      </c>
      <c r="N131" s="9">
        <v>66.94</v>
      </c>
      <c r="O131" s="9">
        <v>92274.91</v>
      </c>
      <c r="P131" s="9" t="s">
        <v>90</v>
      </c>
      <c r="Q131" s="9">
        <v>2.6700000000000002E-2</v>
      </c>
      <c r="R131" s="9">
        <v>49.27</v>
      </c>
      <c r="S131" s="9" t="s">
        <v>89</v>
      </c>
      <c r="T131" s="9" t="s">
        <v>157</v>
      </c>
      <c r="U131" s="9" t="b">
        <v>0</v>
      </c>
    </row>
    <row r="132" spans="1:21" x14ac:dyDescent="0.25">
      <c r="A132" s="9">
        <v>5284</v>
      </c>
      <c r="B132" s="9" t="s">
        <v>63</v>
      </c>
      <c r="C132" s="9" t="s">
        <v>40</v>
      </c>
      <c r="D132" s="9" t="s">
        <v>92</v>
      </c>
      <c r="E132" s="9">
        <v>2008</v>
      </c>
      <c r="F132" s="9">
        <v>2010</v>
      </c>
      <c r="G132" s="9">
        <v>2</v>
      </c>
      <c r="H132" s="9">
        <v>92525.96</v>
      </c>
      <c r="I132" s="9">
        <v>45020.08</v>
      </c>
      <c r="J132" s="9"/>
      <c r="K132" s="9">
        <v>598.73</v>
      </c>
      <c r="L132" s="9">
        <v>80.69</v>
      </c>
      <c r="M132" s="9">
        <v>137626.73000000001</v>
      </c>
      <c r="N132" s="9">
        <v>67.23</v>
      </c>
      <c r="O132" s="9">
        <v>92024.28</v>
      </c>
      <c r="P132" s="9" t="s">
        <v>91</v>
      </c>
      <c r="Q132" s="9">
        <v>4.3799999999999999E-2</v>
      </c>
      <c r="R132" s="9">
        <v>80.69</v>
      </c>
      <c r="S132" s="9" t="s">
        <v>89</v>
      </c>
      <c r="T132" s="9" t="s">
        <v>157</v>
      </c>
      <c r="U132" s="9" t="b">
        <v>0</v>
      </c>
    </row>
    <row r="133" spans="1:21" x14ac:dyDescent="0.25">
      <c r="A133" s="9">
        <v>5284</v>
      </c>
      <c r="B133" s="9" t="s">
        <v>63</v>
      </c>
      <c r="C133" s="9" t="s">
        <v>40</v>
      </c>
      <c r="D133" s="9" t="s">
        <v>93</v>
      </c>
      <c r="E133" s="9">
        <v>2010</v>
      </c>
      <c r="F133" s="9">
        <v>2012</v>
      </c>
      <c r="G133" s="9">
        <v>2</v>
      </c>
      <c r="H133" s="9"/>
      <c r="I133" s="9"/>
      <c r="J133" s="9"/>
      <c r="K133" s="9"/>
      <c r="L133" s="9">
        <v>290.87</v>
      </c>
      <c r="M133" s="9"/>
      <c r="N133" s="9"/>
      <c r="O133" s="9">
        <v>92525.96</v>
      </c>
      <c r="P133" s="9" t="s">
        <v>92</v>
      </c>
      <c r="Q133" s="9">
        <v>0.15720000000000001</v>
      </c>
      <c r="R133" s="9">
        <v>290.87</v>
      </c>
      <c r="S133" s="9" t="s">
        <v>94</v>
      </c>
      <c r="T133" s="9" t="s">
        <v>158</v>
      </c>
      <c r="U133" s="9" t="b">
        <v>1</v>
      </c>
    </row>
    <row r="134" spans="1:21" x14ac:dyDescent="0.25">
      <c r="A134" s="9">
        <v>5284</v>
      </c>
      <c r="B134" s="9" t="s">
        <v>63</v>
      </c>
      <c r="C134" s="9" t="s">
        <v>40</v>
      </c>
      <c r="D134" s="9" t="s">
        <v>96</v>
      </c>
      <c r="E134" s="9">
        <v>2012</v>
      </c>
      <c r="F134" s="9">
        <v>2013</v>
      </c>
      <c r="G134" s="9">
        <v>1</v>
      </c>
      <c r="H134" s="9">
        <v>90745.93</v>
      </c>
      <c r="I134" s="9">
        <v>43658.51</v>
      </c>
      <c r="J134" s="9"/>
      <c r="K134" s="9">
        <v>3618.63</v>
      </c>
      <c r="L134" s="9">
        <v>306.48</v>
      </c>
      <c r="M134" s="9">
        <v>134710.93</v>
      </c>
      <c r="N134" s="9">
        <v>67.36</v>
      </c>
      <c r="O134" s="9">
        <v>92525.96</v>
      </c>
      <c r="P134" s="9" t="s">
        <v>92</v>
      </c>
      <c r="Q134" s="9">
        <v>0.33119999999999999</v>
      </c>
      <c r="R134" s="9">
        <v>306.48</v>
      </c>
      <c r="S134" s="9" t="s">
        <v>97</v>
      </c>
      <c r="T134" s="9" t="s">
        <v>159</v>
      </c>
      <c r="U134" s="9" t="b">
        <v>0</v>
      </c>
    </row>
    <row r="135" spans="1:21" x14ac:dyDescent="0.25">
      <c r="A135" s="9">
        <v>5284</v>
      </c>
      <c r="B135" s="9" t="s">
        <v>63</v>
      </c>
      <c r="C135" s="9" t="s">
        <v>40</v>
      </c>
      <c r="D135" s="9" t="s">
        <v>98</v>
      </c>
      <c r="E135" s="9">
        <v>2013</v>
      </c>
      <c r="F135" s="9">
        <v>2014</v>
      </c>
      <c r="G135" s="9">
        <v>1</v>
      </c>
      <c r="H135" s="9">
        <v>92698.44</v>
      </c>
      <c r="I135" s="9">
        <v>45189.58</v>
      </c>
      <c r="J135" s="9"/>
      <c r="K135" s="9">
        <v>308.89</v>
      </c>
      <c r="L135" s="9">
        <v>218.01</v>
      </c>
      <c r="M135" s="9">
        <v>138106.03</v>
      </c>
      <c r="N135" s="9">
        <v>67.12</v>
      </c>
      <c r="O135" s="9">
        <v>90745.93</v>
      </c>
      <c r="P135" s="9" t="s">
        <v>96</v>
      </c>
      <c r="Q135" s="9">
        <v>0.2402</v>
      </c>
      <c r="R135" s="9">
        <v>218.01</v>
      </c>
      <c r="S135" s="9" t="s">
        <v>89</v>
      </c>
      <c r="T135" s="9" t="s">
        <v>157</v>
      </c>
      <c r="U135" s="9" t="b">
        <v>0</v>
      </c>
    </row>
    <row r="136" spans="1:21" x14ac:dyDescent="0.25">
      <c r="A136" s="9">
        <v>5284</v>
      </c>
      <c r="B136" s="9" t="s">
        <v>63</v>
      </c>
      <c r="C136" s="9" t="s">
        <v>40</v>
      </c>
      <c r="D136" s="9" t="s">
        <v>99</v>
      </c>
      <c r="E136" s="9">
        <v>2014</v>
      </c>
      <c r="F136" s="9">
        <v>2015</v>
      </c>
      <c r="G136" s="9">
        <v>1</v>
      </c>
      <c r="H136" s="9">
        <v>90530.3</v>
      </c>
      <c r="I136" s="9">
        <v>45020.1</v>
      </c>
      <c r="J136" s="9"/>
      <c r="K136" s="9">
        <v>2490.94</v>
      </c>
      <c r="L136" s="9">
        <v>160.26</v>
      </c>
      <c r="M136" s="9">
        <v>135710.66</v>
      </c>
      <c r="N136" s="9">
        <v>66.709999999999994</v>
      </c>
      <c r="O136" s="9">
        <v>92698.44</v>
      </c>
      <c r="P136" s="9" t="s">
        <v>98</v>
      </c>
      <c r="Q136" s="9">
        <v>0.1729</v>
      </c>
      <c r="R136" s="9">
        <v>160.26</v>
      </c>
      <c r="S136" s="9" t="s">
        <v>43</v>
      </c>
      <c r="T136" s="9" t="s">
        <v>156</v>
      </c>
      <c r="U136" s="9" t="b">
        <v>0</v>
      </c>
    </row>
    <row r="137" spans="1:21" x14ac:dyDescent="0.25">
      <c r="A137" s="9">
        <v>5284</v>
      </c>
      <c r="B137" s="9" t="s">
        <v>63</v>
      </c>
      <c r="C137" s="9" t="s">
        <v>40</v>
      </c>
      <c r="D137" s="9" t="s">
        <v>100</v>
      </c>
      <c r="E137" s="9">
        <v>2015</v>
      </c>
      <c r="F137" s="9">
        <v>2016</v>
      </c>
      <c r="G137" s="9">
        <v>1</v>
      </c>
      <c r="H137" s="9"/>
      <c r="I137" s="9"/>
      <c r="J137" s="9"/>
      <c r="K137" s="9"/>
      <c r="L137" s="9">
        <v>14.83</v>
      </c>
      <c r="M137" s="9"/>
      <c r="N137" s="9"/>
      <c r="O137" s="9">
        <v>90530.3</v>
      </c>
      <c r="P137" s="9" t="s">
        <v>99</v>
      </c>
      <c r="Q137" s="9">
        <v>1.6400000000000001E-2</v>
      </c>
      <c r="R137" s="9">
        <v>14.83</v>
      </c>
      <c r="S137" s="9" t="s">
        <v>160</v>
      </c>
      <c r="T137" s="9" t="s">
        <v>158</v>
      </c>
      <c r="U137" s="9" t="b">
        <v>1</v>
      </c>
    </row>
    <row r="138" spans="1:21" x14ac:dyDescent="0.25">
      <c r="A138" s="9">
        <v>5284</v>
      </c>
      <c r="B138" s="9" t="s">
        <v>63</v>
      </c>
      <c r="C138" s="9" t="s">
        <v>40</v>
      </c>
      <c r="D138" s="9" t="s">
        <v>102</v>
      </c>
      <c r="E138" s="9">
        <v>2016</v>
      </c>
      <c r="F138" s="9">
        <v>2017</v>
      </c>
      <c r="G138" s="9">
        <v>1</v>
      </c>
      <c r="H138" s="9">
        <v>86508.78</v>
      </c>
      <c r="I138" s="9">
        <v>44627.14</v>
      </c>
      <c r="J138" s="9"/>
      <c r="K138" s="9">
        <v>6619.39</v>
      </c>
      <c r="L138" s="9">
        <v>470.15</v>
      </c>
      <c r="M138" s="9">
        <v>131606.07</v>
      </c>
      <c r="N138" s="9">
        <v>65.73</v>
      </c>
      <c r="O138" s="9">
        <v>90530.3</v>
      </c>
      <c r="P138" s="9" t="s">
        <v>99</v>
      </c>
      <c r="Q138" s="9">
        <v>0.51929999999999998</v>
      </c>
      <c r="R138" s="9">
        <v>470.15</v>
      </c>
      <c r="S138" s="9" t="s">
        <v>89</v>
      </c>
      <c r="T138" s="9" t="s">
        <v>157</v>
      </c>
      <c r="U138" s="9" t="b">
        <v>0</v>
      </c>
    </row>
    <row r="139" spans="1:21" x14ac:dyDescent="0.25">
      <c r="A139" s="9">
        <v>5284</v>
      </c>
      <c r="B139" s="9" t="s">
        <v>63</v>
      </c>
      <c r="C139" s="9" t="s">
        <v>40</v>
      </c>
      <c r="D139" s="9" t="s">
        <v>103</v>
      </c>
      <c r="E139" s="9">
        <v>2017</v>
      </c>
      <c r="F139" s="9">
        <v>2018</v>
      </c>
      <c r="G139" s="9">
        <v>1</v>
      </c>
      <c r="H139" s="9">
        <v>92251.21</v>
      </c>
      <c r="I139" s="9">
        <v>45545.36</v>
      </c>
      <c r="J139" s="9">
        <v>7.25</v>
      </c>
      <c r="K139" s="9">
        <v>300.54000000000002</v>
      </c>
      <c r="L139" s="9">
        <v>121.1</v>
      </c>
      <c r="M139" s="9">
        <v>137924.91</v>
      </c>
      <c r="N139" s="9">
        <v>66.89</v>
      </c>
      <c r="O139" s="9">
        <v>86508.78</v>
      </c>
      <c r="P139" s="9" t="s">
        <v>102</v>
      </c>
      <c r="Q139" s="9">
        <v>0.14000000000000001</v>
      </c>
      <c r="R139" s="9">
        <v>113.85</v>
      </c>
      <c r="S139" s="9" t="s">
        <v>89</v>
      </c>
      <c r="T139" s="9" t="s">
        <v>157</v>
      </c>
      <c r="U139" s="9" t="b">
        <v>0</v>
      </c>
    </row>
    <row r="140" spans="1:21" x14ac:dyDescent="0.25">
      <c r="A140" s="9">
        <v>5284</v>
      </c>
      <c r="B140" s="9" t="s">
        <v>63</v>
      </c>
      <c r="C140" s="9" t="s">
        <v>40</v>
      </c>
      <c r="D140" s="9" t="s">
        <v>104</v>
      </c>
      <c r="E140" s="9">
        <v>2018</v>
      </c>
      <c r="F140" s="9">
        <v>2019</v>
      </c>
      <c r="G140" s="9">
        <v>1</v>
      </c>
      <c r="H140" s="9"/>
      <c r="I140" s="9"/>
      <c r="J140" s="9"/>
      <c r="K140" s="9"/>
      <c r="L140" s="9">
        <v>108.86</v>
      </c>
      <c r="M140" s="9"/>
      <c r="N140" s="9"/>
      <c r="O140" s="9">
        <v>92251.21</v>
      </c>
      <c r="P140" s="9" t="s">
        <v>103</v>
      </c>
      <c r="Q140" s="9">
        <v>0.11799999999999999</v>
      </c>
      <c r="R140" s="9">
        <v>108.86</v>
      </c>
      <c r="S140" s="9" t="s">
        <v>105</v>
      </c>
      <c r="T140" s="9" t="s">
        <v>158</v>
      </c>
      <c r="U140" s="9" t="b">
        <v>1</v>
      </c>
    </row>
    <row r="141" spans="1:21" x14ac:dyDescent="0.25">
      <c r="A141" s="9">
        <v>5284</v>
      </c>
      <c r="B141" s="9" t="s">
        <v>63</v>
      </c>
      <c r="C141" s="9" t="s">
        <v>40</v>
      </c>
      <c r="D141" s="9" t="s">
        <v>106</v>
      </c>
      <c r="E141" s="9">
        <v>2019</v>
      </c>
      <c r="F141" s="9">
        <v>2020</v>
      </c>
      <c r="G141" s="9">
        <v>1</v>
      </c>
      <c r="H141" s="9">
        <v>91701.57</v>
      </c>
      <c r="I141" s="9">
        <v>46369.51</v>
      </c>
      <c r="J141" s="9"/>
      <c r="K141" s="9">
        <v>57.76</v>
      </c>
      <c r="L141" s="9">
        <v>96.61</v>
      </c>
      <c r="M141" s="9">
        <v>138167.69</v>
      </c>
      <c r="N141" s="9">
        <v>66.37</v>
      </c>
      <c r="O141" s="9">
        <v>92251.21</v>
      </c>
      <c r="P141" s="9" t="s">
        <v>103</v>
      </c>
      <c r="Q141" s="9">
        <v>0.1047</v>
      </c>
      <c r="R141" s="9">
        <v>96.61</v>
      </c>
      <c r="S141" s="9" t="s">
        <v>89</v>
      </c>
      <c r="T141" s="9" t="s">
        <v>157</v>
      </c>
      <c r="U141" s="9" t="b">
        <v>0</v>
      </c>
    </row>
    <row r="142" spans="1:21" x14ac:dyDescent="0.25">
      <c r="A142" s="9">
        <v>5284</v>
      </c>
      <c r="B142" s="9" t="s">
        <v>63</v>
      </c>
      <c r="C142" s="9" t="s">
        <v>40</v>
      </c>
      <c r="D142" s="9" t="s">
        <v>107</v>
      </c>
      <c r="E142" s="9">
        <v>2020</v>
      </c>
      <c r="F142" s="9">
        <v>2021</v>
      </c>
      <c r="G142" s="9">
        <v>1</v>
      </c>
      <c r="H142" s="9">
        <v>91644.87</v>
      </c>
      <c r="I142" s="9">
        <v>46496.67</v>
      </c>
      <c r="J142" s="9"/>
      <c r="K142" s="9">
        <v>2.81</v>
      </c>
      <c r="L142" s="9">
        <v>81.099999999999994</v>
      </c>
      <c r="M142" s="9">
        <v>138222.64000000001</v>
      </c>
      <c r="N142" s="9">
        <v>66.3</v>
      </c>
      <c r="O142" s="9">
        <v>91701.57</v>
      </c>
      <c r="P142" s="9" t="s">
        <v>106</v>
      </c>
      <c r="Q142" s="9">
        <v>8.8400000000000006E-2</v>
      </c>
      <c r="R142" s="9">
        <v>81.099999999999994</v>
      </c>
      <c r="S142" s="9" t="s">
        <v>89</v>
      </c>
      <c r="T142" s="9" t="s">
        <v>157</v>
      </c>
      <c r="U142" s="9" t="b">
        <v>0</v>
      </c>
    </row>
    <row r="143" spans="1:21" x14ac:dyDescent="0.25">
      <c r="A143" s="9">
        <v>5284</v>
      </c>
      <c r="B143" s="9" t="s">
        <v>63</v>
      </c>
      <c r="C143" s="9" t="s">
        <v>40</v>
      </c>
      <c r="D143" s="9" t="s">
        <v>108</v>
      </c>
      <c r="E143" s="9">
        <v>2021</v>
      </c>
      <c r="F143" s="9">
        <v>2022</v>
      </c>
      <c r="G143" s="9">
        <v>1</v>
      </c>
      <c r="H143" s="9">
        <v>90452.74</v>
      </c>
      <c r="I143" s="9">
        <v>46866.9</v>
      </c>
      <c r="J143" s="9"/>
      <c r="K143" s="9">
        <v>547.29999999999995</v>
      </c>
      <c r="L143" s="9">
        <v>358.51</v>
      </c>
      <c r="M143" s="9">
        <v>137678.16</v>
      </c>
      <c r="N143" s="9">
        <v>65.7</v>
      </c>
      <c r="O143" s="9">
        <v>91644.87</v>
      </c>
      <c r="P143" s="9" t="s">
        <v>107</v>
      </c>
      <c r="Q143" s="9">
        <v>0.39119999999999999</v>
      </c>
      <c r="R143" s="9">
        <v>358.51</v>
      </c>
      <c r="S143" s="9" t="s">
        <v>89</v>
      </c>
      <c r="T143" s="9" t="s">
        <v>157</v>
      </c>
      <c r="U143" s="9" t="b">
        <v>0</v>
      </c>
    </row>
    <row r="144" spans="1:21" x14ac:dyDescent="0.25">
      <c r="A144" s="9">
        <v>5284</v>
      </c>
      <c r="B144" s="9" t="s">
        <v>63</v>
      </c>
      <c r="C144" s="9" t="s">
        <v>40</v>
      </c>
      <c r="D144" s="9" t="s">
        <v>109</v>
      </c>
      <c r="E144" s="9">
        <v>2022</v>
      </c>
      <c r="F144" s="9">
        <v>2023</v>
      </c>
      <c r="G144" s="9">
        <v>1</v>
      </c>
      <c r="H144" s="9">
        <v>90855.44</v>
      </c>
      <c r="I144" s="9">
        <v>47260.13</v>
      </c>
      <c r="J144" s="9"/>
      <c r="K144" s="9"/>
      <c r="L144" s="9">
        <v>109.89</v>
      </c>
      <c r="M144" s="9">
        <v>138225.45000000001</v>
      </c>
      <c r="N144" s="9">
        <v>65.73</v>
      </c>
      <c r="O144" s="9">
        <v>90452.74</v>
      </c>
      <c r="P144" s="9" t="s">
        <v>108</v>
      </c>
      <c r="Q144" s="9">
        <v>0.1215</v>
      </c>
      <c r="R144" s="9">
        <v>109.89</v>
      </c>
      <c r="S144" s="9" t="s">
        <v>89</v>
      </c>
      <c r="T144" s="9" t="s">
        <v>157</v>
      </c>
      <c r="U144" s="9" t="b">
        <v>0</v>
      </c>
    </row>
    <row r="145" spans="1:21" x14ac:dyDescent="0.25">
      <c r="A145" s="9">
        <v>5284</v>
      </c>
      <c r="B145" s="9" t="s">
        <v>63</v>
      </c>
      <c r="C145" s="9" t="s">
        <v>40</v>
      </c>
      <c r="D145" s="9" t="s">
        <v>110</v>
      </c>
      <c r="E145" s="9">
        <v>2023</v>
      </c>
      <c r="F145" s="9">
        <v>2024</v>
      </c>
      <c r="G145" s="9">
        <v>1</v>
      </c>
      <c r="H145" s="9"/>
      <c r="I145" s="9"/>
      <c r="J145" s="9"/>
      <c r="K145" s="9"/>
      <c r="L145" s="9">
        <v>211.96</v>
      </c>
      <c r="M145" s="9"/>
      <c r="N145" s="9"/>
      <c r="O145" s="9">
        <v>90855.44</v>
      </c>
      <c r="P145" s="9" t="s">
        <v>109</v>
      </c>
      <c r="Q145" s="9">
        <v>0.23330000000000001</v>
      </c>
      <c r="R145" s="9">
        <v>211.96</v>
      </c>
      <c r="S145" s="9" t="s">
        <v>105</v>
      </c>
      <c r="T145" s="9" t="s">
        <v>158</v>
      </c>
      <c r="U145" s="9" t="b">
        <v>1</v>
      </c>
    </row>
    <row r="146" spans="1:21" x14ac:dyDescent="0.25">
      <c r="A146" s="9">
        <v>5306</v>
      </c>
      <c r="B146" s="9" t="s">
        <v>66</v>
      </c>
      <c r="C146" s="9" t="s">
        <v>40</v>
      </c>
      <c r="D146" s="9" t="s">
        <v>41</v>
      </c>
      <c r="E146" s="9">
        <v>2000</v>
      </c>
      <c r="F146" s="9">
        <v>2002</v>
      </c>
      <c r="G146" s="9">
        <v>2</v>
      </c>
      <c r="H146" s="9">
        <v>1305.01</v>
      </c>
      <c r="I146" s="9">
        <v>8031.94</v>
      </c>
      <c r="J146" s="9"/>
      <c r="K146" s="9"/>
      <c r="L146" s="9">
        <v>1.06</v>
      </c>
      <c r="M146" s="9">
        <v>9338.01</v>
      </c>
      <c r="N146" s="9">
        <v>13.98</v>
      </c>
      <c r="O146" s="9"/>
      <c r="P146" s="9"/>
      <c r="Q146" s="9"/>
      <c r="R146" s="9">
        <v>1.06</v>
      </c>
      <c r="S146" s="9" t="s">
        <v>43</v>
      </c>
      <c r="T146" s="9" t="s">
        <v>156</v>
      </c>
      <c r="U146" s="9" t="b">
        <v>0</v>
      </c>
    </row>
    <row r="147" spans="1:21" x14ac:dyDescent="0.25">
      <c r="A147" s="9">
        <v>5306</v>
      </c>
      <c r="B147" s="9" t="s">
        <v>66</v>
      </c>
      <c r="C147" s="9" t="s">
        <v>40</v>
      </c>
      <c r="D147" s="9" t="s">
        <v>88</v>
      </c>
      <c r="E147" s="9">
        <v>2002</v>
      </c>
      <c r="F147" s="9">
        <v>2004</v>
      </c>
      <c r="G147" s="9">
        <v>2</v>
      </c>
      <c r="H147" s="9">
        <v>1303.58</v>
      </c>
      <c r="I147" s="9">
        <v>8028.42</v>
      </c>
      <c r="J147" s="9"/>
      <c r="K147" s="9"/>
      <c r="L147" s="9"/>
      <c r="M147" s="9">
        <v>9332</v>
      </c>
      <c r="N147" s="9">
        <v>13.97</v>
      </c>
      <c r="O147" s="9">
        <v>1305.01</v>
      </c>
      <c r="P147" s="9" t="s">
        <v>41</v>
      </c>
      <c r="Q147" s="9"/>
      <c r="R147" s="9">
        <v>0</v>
      </c>
      <c r="S147" s="9" t="s">
        <v>89</v>
      </c>
      <c r="T147" s="9" t="s">
        <v>157</v>
      </c>
      <c r="U147" s="9" t="b">
        <v>0</v>
      </c>
    </row>
    <row r="148" spans="1:21" x14ac:dyDescent="0.25">
      <c r="A148" s="9">
        <v>5306</v>
      </c>
      <c r="B148" s="9" t="s">
        <v>66</v>
      </c>
      <c r="C148" s="9" t="s">
        <v>40</v>
      </c>
      <c r="D148" s="9" t="s">
        <v>90</v>
      </c>
      <c r="E148" s="9">
        <v>2004</v>
      </c>
      <c r="F148" s="9">
        <v>2006</v>
      </c>
      <c r="G148" s="9">
        <v>2</v>
      </c>
      <c r="H148" s="9">
        <v>1303.52</v>
      </c>
      <c r="I148" s="9">
        <v>8028.48</v>
      </c>
      <c r="J148" s="9"/>
      <c r="K148" s="9"/>
      <c r="L148" s="9"/>
      <c r="M148" s="9">
        <v>9332</v>
      </c>
      <c r="N148" s="9">
        <v>13.97</v>
      </c>
      <c r="O148" s="9">
        <v>1303.58</v>
      </c>
      <c r="P148" s="9" t="s">
        <v>88</v>
      </c>
      <c r="Q148" s="9"/>
      <c r="R148" s="9">
        <v>0</v>
      </c>
      <c r="S148" s="9" t="s">
        <v>89</v>
      </c>
      <c r="T148" s="9" t="s">
        <v>157</v>
      </c>
      <c r="U148" s="9" t="b">
        <v>0</v>
      </c>
    </row>
    <row r="149" spans="1:21" x14ac:dyDescent="0.25">
      <c r="A149" s="9">
        <v>5306</v>
      </c>
      <c r="B149" s="9" t="s">
        <v>66</v>
      </c>
      <c r="C149" s="9" t="s">
        <v>40</v>
      </c>
      <c r="D149" s="9" t="s">
        <v>91</v>
      </c>
      <c r="E149" s="9">
        <v>2006</v>
      </c>
      <c r="F149" s="9">
        <v>2008</v>
      </c>
      <c r="G149" s="9">
        <v>2</v>
      </c>
      <c r="H149" s="9">
        <v>1307.3699999999999</v>
      </c>
      <c r="I149" s="9">
        <v>8023.78</v>
      </c>
      <c r="J149" s="9"/>
      <c r="K149" s="9">
        <v>0.85</v>
      </c>
      <c r="L149" s="9"/>
      <c r="M149" s="9">
        <v>9331.15</v>
      </c>
      <c r="N149" s="9">
        <v>14.01</v>
      </c>
      <c r="O149" s="9">
        <v>1303.52</v>
      </c>
      <c r="P149" s="9" t="s">
        <v>90</v>
      </c>
      <c r="Q149" s="9"/>
      <c r="R149" s="9">
        <v>0</v>
      </c>
      <c r="S149" s="9" t="s">
        <v>89</v>
      </c>
      <c r="T149" s="9" t="s">
        <v>157</v>
      </c>
      <c r="U149" s="9" t="b">
        <v>0</v>
      </c>
    </row>
    <row r="150" spans="1:21" x14ac:dyDescent="0.25">
      <c r="A150" s="9">
        <v>5306</v>
      </c>
      <c r="B150" s="9" t="s">
        <v>66</v>
      </c>
      <c r="C150" s="9" t="s">
        <v>40</v>
      </c>
      <c r="D150" s="9" t="s">
        <v>92</v>
      </c>
      <c r="E150" s="9">
        <v>2008</v>
      </c>
      <c r="F150" s="9">
        <v>2010</v>
      </c>
      <c r="G150" s="9">
        <v>2</v>
      </c>
      <c r="H150" s="9">
        <v>1317.01</v>
      </c>
      <c r="I150" s="9">
        <v>8014.02</v>
      </c>
      <c r="J150" s="9"/>
      <c r="K150" s="9"/>
      <c r="L150" s="9">
        <v>0.97</v>
      </c>
      <c r="M150" s="9">
        <v>9332</v>
      </c>
      <c r="N150" s="9">
        <v>14.11</v>
      </c>
      <c r="O150" s="9">
        <v>1307.3699999999999</v>
      </c>
      <c r="P150" s="9" t="s">
        <v>91</v>
      </c>
      <c r="Q150" s="9">
        <v>3.73E-2</v>
      </c>
      <c r="R150" s="9">
        <v>0.97</v>
      </c>
      <c r="S150" s="9" t="s">
        <v>89</v>
      </c>
      <c r="T150" s="9" t="s">
        <v>157</v>
      </c>
      <c r="U150" s="9" t="b">
        <v>0</v>
      </c>
    </row>
    <row r="151" spans="1:21" x14ac:dyDescent="0.25">
      <c r="A151" s="9">
        <v>5306</v>
      </c>
      <c r="B151" s="9" t="s">
        <v>66</v>
      </c>
      <c r="C151" s="9" t="s">
        <v>40</v>
      </c>
      <c r="D151" s="9" t="s">
        <v>93</v>
      </c>
      <c r="E151" s="9">
        <v>2010</v>
      </c>
      <c r="F151" s="9">
        <v>2012</v>
      </c>
      <c r="G151" s="9">
        <v>2</v>
      </c>
      <c r="H151" s="9"/>
      <c r="I151" s="9"/>
      <c r="J151" s="9"/>
      <c r="K151" s="9"/>
      <c r="L151" s="9">
        <v>15.69</v>
      </c>
      <c r="M151" s="9"/>
      <c r="N151" s="9"/>
      <c r="O151" s="9">
        <v>1317.01</v>
      </c>
      <c r="P151" s="9" t="s">
        <v>92</v>
      </c>
      <c r="Q151" s="9">
        <v>0.59570000000000001</v>
      </c>
      <c r="R151" s="9">
        <v>15.69</v>
      </c>
      <c r="S151" s="9" t="s">
        <v>94</v>
      </c>
      <c r="T151" s="9" t="s">
        <v>158</v>
      </c>
      <c r="U151" s="9" t="b">
        <v>1</v>
      </c>
    </row>
    <row r="152" spans="1:21" x14ac:dyDescent="0.25">
      <c r="A152" s="9">
        <v>5306</v>
      </c>
      <c r="B152" s="9" t="s">
        <v>66</v>
      </c>
      <c r="C152" s="9" t="s">
        <v>40</v>
      </c>
      <c r="D152" s="9" t="s">
        <v>96</v>
      </c>
      <c r="E152" s="9">
        <v>2012</v>
      </c>
      <c r="F152" s="9">
        <v>2013</v>
      </c>
      <c r="G152" s="9">
        <v>1</v>
      </c>
      <c r="H152" s="9">
        <v>1378.37</v>
      </c>
      <c r="I152" s="9">
        <v>7932.31</v>
      </c>
      <c r="J152" s="9"/>
      <c r="K152" s="9">
        <v>2.42</v>
      </c>
      <c r="L152" s="9">
        <v>18.22</v>
      </c>
      <c r="M152" s="9">
        <v>9328.9</v>
      </c>
      <c r="N152" s="9">
        <v>14.78</v>
      </c>
      <c r="O152" s="9">
        <v>1317.01</v>
      </c>
      <c r="P152" s="9" t="s">
        <v>92</v>
      </c>
      <c r="Q152" s="9">
        <v>1.3834</v>
      </c>
      <c r="R152" s="9">
        <v>18.22</v>
      </c>
      <c r="S152" s="9" t="s">
        <v>97</v>
      </c>
      <c r="T152" s="9" t="s">
        <v>159</v>
      </c>
      <c r="U152" s="9" t="b">
        <v>0</v>
      </c>
    </row>
    <row r="153" spans="1:21" x14ac:dyDescent="0.25">
      <c r="A153" s="9">
        <v>5306</v>
      </c>
      <c r="B153" s="9" t="s">
        <v>66</v>
      </c>
      <c r="C153" s="9" t="s">
        <v>40</v>
      </c>
      <c r="D153" s="9" t="s">
        <v>98</v>
      </c>
      <c r="E153" s="9">
        <v>2013</v>
      </c>
      <c r="F153" s="9">
        <v>2014</v>
      </c>
      <c r="G153" s="9">
        <v>1</v>
      </c>
      <c r="H153" s="9">
        <v>1364.73</v>
      </c>
      <c r="I153" s="9">
        <v>7972.64</v>
      </c>
      <c r="J153" s="9"/>
      <c r="K153" s="9"/>
      <c r="L153" s="9">
        <v>1.24</v>
      </c>
      <c r="M153" s="9">
        <v>9338.61</v>
      </c>
      <c r="N153" s="9">
        <v>14.61</v>
      </c>
      <c r="O153" s="9">
        <v>1378.37</v>
      </c>
      <c r="P153" s="9" t="s">
        <v>96</v>
      </c>
      <c r="Q153" s="9">
        <v>9.01E-2</v>
      </c>
      <c r="R153" s="9">
        <v>1.24</v>
      </c>
      <c r="S153" s="9" t="s">
        <v>89</v>
      </c>
      <c r="T153" s="9" t="s">
        <v>157</v>
      </c>
      <c r="U153" s="9" t="b">
        <v>0</v>
      </c>
    </row>
    <row r="154" spans="1:21" x14ac:dyDescent="0.25">
      <c r="A154" s="9">
        <v>5306</v>
      </c>
      <c r="B154" s="9" t="s">
        <v>66</v>
      </c>
      <c r="C154" s="9" t="s">
        <v>40</v>
      </c>
      <c r="D154" s="9" t="s">
        <v>99</v>
      </c>
      <c r="E154" s="9">
        <v>2014</v>
      </c>
      <c r="F154" s="9">
        <v>2015</v>
      </c>
      <c r="G154" s="9">
        <v>1</v>
      </c>
      <c r="H154" s="9">
        <v>1377.1</v>
      </c>
      <c r="I154" s="9">
        <v>7951.63</v>
      </c>
      <c r="J154" s="9"/>
      <c r="K154" s="9"/>
      <c r="L154" s="9"/>
      <c r="M154" s="9">
        <v>9328.73</v>
      </c>
      <c r="N154" s="9">
        <v>14.76</v>
      </c>
      <c r="O154" s="9">
        <v>1364.73</v>
      </c>
      <c r="P154" s="9" t="s">
        <v>98</v>
      </c>
      <c r="Q154" s="9"/>
      <c r="R154" s="9">
        <v>0</v>
      </c>
      <c r="S154" s="9" t="s">
        <v>43</v>
      </c>
      <c r="T154" s="9" t="s">
        <v>156</v>
      </c>
      <c r="U154" s="9" t="b">
        <v>0</v>
      </c>
    </row>
    <row r="155" spans="1:21" x14ac:dyDescent="0.25">
      <c r="A155" s="9">
        <v>5306</v>
      </c>
      <c r="B155" s="9" t="s">
        <v>66</v>
      </c>
      <c r="C155" s="9" t="s">
        <v>40</v>
      </c>
      <c r="D155" s="9" t="s">
        <v>100</v>
      </c>
      <c r="E155" s="9">
        <v>2015</v>
      </c>
      <c r="F155" s="9">
        <v>2016</v>
      </c>
      <c r="G155" s="9">
        <v>1</v>
      </c>
      <c r="H155" s="9"/>
      <c r="I155" s="9"/>
      <c r="J155" s="9"/>
      <c r="K155" s="9"/>
      <c r="L155" s="9">
        <v>2.77</v>
      </c>
      <c r="M155" s="9"/>
      <c r="N155" s="9"/>
      <c r="O155" s="9">
        <v>1377.1</v>
      </c>
      <c r="P155" s="9" t="s">
        <v>99</v>
      </c>
      <c r="Q155" s="9">
        <v>0.2011</v>
      </c>
      <c r="R155" s="9">
        <v>2.77</v>
      </c>
      <c r="S155" s="9" t="s">
        <v>160</v>
      </c>
      <c r="T155" s="9" t="s">
        <v>158</v>
      </c>
      <c r="U155" s="9" t="b">
        <v>1</v>
      </c>
    </row>
    <row r="156" spans="1:21" x14ac:dyDescent="0.25">
      <c r="A156" s="9">
        <v>5306</v>
      </c>
      <c r="B156" s="9" t="s">
        <v>66</v>
      </c>
      <c r="C156" s="9" t="s">
        <v>40</v>
      </c>
      <c r="D156" s="9" t="s">
        <v>102</v>
      </c>
      <c r="E156" s="9">
        <v>2016</v>
      </c>
      <c r="F156" s="9">
        <v>2017</v>
      </c>
      <c r="G156" s="9">
        <v>1</v>
      </c>
      <c r="H156" s="9">
        <v>1519.05</v>
      </c>
      <c r="I156" s="9">
        <v>7800.15</v>
      </c>
      <c r="J156" s="9"/>
      <c r="K156" s="9"/>
      <c r="L156" s="9">
        <v>13.06</v>
      </c>
      <c r="M156" s="9">
        <v>9332.26</v>
      </c>
      <c r="N156" s="9">
        <v>16.28</v>
      </c>
      <c r="O156" s="9">
        <v>1377.1</v>
      </c>
      <c r="P156" s="9" t="s">
        <v>99</v>
      </c>
      <c r="Q156" s="9">
        <v>0.94820000000000004</v>
      </c>
      <c r="R156" s="9">
        <v>13.06</v>
      </c>
      <c r="S156" s="9" t="s">
        <v>89</v>
      </c>
      <c r="T156" s="9" t="s">
        <v>157</v>
      </c>
      <c r="U156" s="9" t="b">
        <v>0</v>
      </c>
    </row>
    <row r="157" spans="1:21" x14ac:dyDescent="0.25">
      <c r="A157" s="9">
        <v>5306</v>
      </c>
      <c r="B157" s="9" t="s">
        <v>66</v>
      </c>
      <c r="C157" s="9" t="s">
        <v>40</v>
      </c>
      <c r="D157" s="9" t="s">
        <v>103</v>
      </c>
      <c r="E157" s="9">
        <v>2017</v>
      </c>
      <c r="F157" s="9">
        <v>2018</v>
      </c>
      <c r="G157" s="9">
        <v>1</v>
      </c>
      <c r="H157" s="9">
        <v>1516.78</v>
      </c>
      <c r="I157" s="9">
        <v>7815.48</v>
      </c>
      <c r="J157" s="9"/>
      <c r="K157" s="9"/>
      <c r="L157" s="9"/>
      <c r="M157" s="9">
        <v>9332.26</v>
      </c>
      <c r="N157" s="9">
        <v>16.25</v>
      </c>
      <c r="O157" s="9">
        <v>1519.05</v>
      </c>
      <c r="P157" s="9" t="s">
        <v>102</v>
      </c>
      <c r="Q157" s="9"/>
      <c r="R157" s="9">
        <v>0</v>
      </c>
      <c r="S157" s="9" t="s">
        <v>89</v>
      </c>
      <c r="T157" s="9" t="s">
        <v>157</v>
      </c>
      <c r="U157" s="9" t="b">
        <v>0</v>
      </c>
    </row>
    <row r="158" spans="1:21" x14ac:dyDescent="0.25">
      <c r="A158" s="9">
        <v>5306</v>
      </c>
      <c r="B158" s="9" t="s">
        <v>66</v>
      </c>
      <c r="C158" s="9" t="s">
        <v>40</v>
      </c>
      <c r="D158" s="9" t="s">
        <v>104</v>
      </c>
      <c r="E158" s="9">
        <v>2018</v>
      </c>
      <c r="F158" s="9">
        <v>2019</v>
      </c>
      <c r="G158" s="9">
        <v>1</v>
      </c>
      <c r="H158" s="9"/>
      <c r="I158" s="9"/>
      <c r="J158" s="9"/>
      <c r="K158" s="9"/>
      <c r="L158" s="9">
        <v>10.58</v>
      </c>
      <c r="M158" s="9"/>
      <c r="N158" s="9"/>
      <c r="O158" s="9">
        <v>1516.78</v>
      </c>
      <c r="P158" s="9" t="s">
        <v>103</v>
      </c>
      <c r="Q158" s="9">
        <v>0.69750000000000001</v>
      </c>
      <c r="R158" s="9">
        <v>10.58</v>
      </c>
      <c r="S158" s="9" t="s">
        <v>105</v>
      </c>
      <c r="T158" s="9" t="s">
        <v>158</v>
      </c>
      <c r="U158" s="9" t="b">
        <v>1</v>
      </c>
    </row>
    <row r="159" spans="1:21" x14ac:dyDescent="0.25">
      <c r="A159" s="9">
        <v>5306</v>
      </c>
      <c r="B159" s="9" t="s">
        <v>66</v>
      </c>
      <c r="C159" s="9" t="s">
        <v>40</v>
      </c>
      <c r="D159" s="9" t="s">
        <v>106</v>
      </c>
      <c r="E159" s="9">
        <v>2019</v>
      </c>
      <c r="F159" s="9">
        <v>2020</v>
      </c>
      <c r="G159" s="9">
        <v>1</v>
      </c>
      <c r="H159" s="9">
        <v>1514.35</v>
      </c>
      <c r="I159" s="9">
        <v>7817.91</v>
      </c>
      <c r="J159" s="9"/>
      <c r="K159" s="9"/>
      <c r="L159" s="9"/>
      <c r="M159" s="9">
        <v>9332.26</v>
      </c>
      <c r="N159" s="9">
        <v>16.23</v>
      </c>
      <c r="O159" s="9">
        <v>1516.78</v>
      </c>
      <c r="P159" s="9" t="s">
        <v>103</v>
      </c>
      <c r="Q159" s="9"/>
      <c r="R159" s="9">
        <v>0</v>
      </c>
      <c r="S159" s="9" t="s">
        <v>89</v>
      </c>
      <c r="T159" s="9" t="s">
        <v>157</v>
      </c>
      <c r="U159" s="9" t="b">
        <v>0</v>
      </c>
    </row>
    <row r="160" spans="1:21" x14ac:dyDescent="0.25">
      <c r="A160" s="9">
        <v>5306</v>
      </c>
      <c r="B160" s="9" t="s">
        <v>66</v>
      </c>
      <c r="C160" s="9" t="s">
        <v>40</v>
      </c>
      <c r="D160" s="9" t="s">
        <v>107</v>
      </c>
      <c r="E160" s="9">
        <v>2020</v>
      </c>
      <c r="F160" s="9">
        <v>2021</v>
      </c>
      <c r="G160" s="9">
        <v>1</v>
      </c>
      <c r="H160" s="9">
        <v>1514.35</v>
      </c>
      <c r="I160" s="9">
        <v>7817.91</v>
      </c>
      <c r="J160" s="9"/>
      <c r="K160" s="9"/>
      <c r="L160" s="9"/>
      <c r="M160" s="9">
        <v>9332.26</v>
      </c>
      <c r="N160" s="9">
        <v>16.23</v>
      </c>
      <c r="O160" s="9">
        <v>1514.35</v>
      </c>
      <c r="P160" s="9" t="s">
        <v>106</v>
      </c>
      <c r="Q160" s="9"/>
      <c r="R160" s="9">
        <v>0</v>
      </c>
      <c r="S160" s="9" t="s">
        <v>89</v>
      </c>
      <c r="T160" s="9" t="s">
        <v>157</v>
      </c>
      <c r="U160" s="9" t="b">
        <v>0</v>
      </c>
    </row>
    <row r="161" spans="1:21" x14ac:dyDescent="0.25">
      <c r="A161" s="9">
        <v>5306</v>
      </c>
      <c r="B161" s="9" t="s">
        <v>66</v>
      </c>
      <c r="C161" s="9" t="s">
        <v>40</v>
      </c>
      <c r="D161" s="9" t="s">
        <v>108</v>
      </c>
      <c r="E161" s="9">
        <v>2021</v>
      </c>
      <c r="F161" s="9">
        <v>2022</v>
      </c>
      <c r="G161" s="9">
        <v>1</v>
      </c>
      <c r="H161" s="9">
        <v>1491.96</v>
      </c>
      <c r="I161" s="9">
        <v>7832.13</v>
      </c>
      <c r="J161" s="9"/>
      <c r="K161" s="9"/>
      <c r="L161" s="9">
        <v>8.09</v>
      </c>
      <c r="M161" s="9">
        <v>9332.19</v>
      </c>
      <c r="N161" s="9">
        <v>15.99</v>
      </c>
      <c r="O161" s="9">
        <v>1514.35</v>
      </c>
      <c r="P161" s="9" t="s">
        <v>107</v>
      </c>
      <c r="Q161" s="9">
        <v>0.53449999999999998</v>
      </c>
      <c r="R161" s="9">
        <v>8.09</v>
      </c>
      <c r="S161" s="9" t="s">
        <v>89</v>
      </c>
      <c r="T161" s="9" t="s">
        <v>157</v>
      </c>
      <c r="U161" s="9" t="b">
        <v>0</v>
      </c>
    </row>
    <row r="162" spans="1:21" x14ac:dyDescent="0.25">
      <c r="A162" s="9">
        <v>5306</v>
      </c>
      <c r="B162" s="9" t="s">
        <v>66</v>
      </c>
      <c r="C162" s="9" t="s">
        <v>40</v>
      </c>
      <c r="D162" s="9" t="s">
        <v>109</v>
      </c>
      <c r="E162" s="9">
        <v>2022</v>
      </c>
      <c r="F162" s="9">
        <v>2023</v>
      </c>
      <c r="G162" s="9">
        <v>1</v>
      </c>
      <c r="H162" s="9">
        <v>1515.6</v>
      </c>
      <c r="I162" s="9">
        <v>7816.66</v>
      </c>
      <c r="J162" s="9"/>
      <c r="K162" s="9"/>
      <c r="L162" s="9"/>
      <c r="M162" s="9">
        <v>9332.27</v>
      </c>
      <c r="N162" s="9">
        <v>16.239999999999998</v>
      </c>
      <c r="O162" s="9">
        <v>1491.96</v>
      </c>
      <c r="P162" s="9" t="s">
        <v>108</v>
      </c>
      <c r="Q162" s="9"/>
      <c r="R162" s="9">
        <v>0</v>
      </c>
      <c r="S162" s="9" t="s">
        <v>89</v>
      </c>
      <c r="T162" s="9" t="s">
        <v>157</v>
      </c>
      <c r="U162" s="9" t="b">
        <v>0</v>
      </c>
    </row>
    <row r="163" spans="1:21" x14ac:dyDescent="0.25">
      <c r="A163" s="9">
        <v>5306</v>
      </c>
      <c r="B163" s="9" t="s">
        <v>66</v>
      </c>
      <c r="C163" s="9" t="s">
        <v>40</v>
      </c>
      <c r="D163" s="9" t="s">
        <v>110</v>
      </c>
      <c r="E163" s="9">
        <v>2023</v>
      </c>
      <c r="F163" s="9">
        <v>2024</v>
      </c>
      <c r="G163" s="9">
        <v>1</v>
      </c>
      <c r="H163" s="9"/>
      <c r="I163" s="9"/>
      <c r="J163" s="9"/>
      <c r="K163" s="9"/>
      <c r="L163" s="9">
        <v>13.3</v>
      </c>
      <c r="M163" s="9"/>
      <c r="N163" s="9"/>
      <c r="O163" s="9">
        <v>1515.6</v>
      </c>
      <c r="P163" s="9" t="s">
        <v>109</v>
      </c>
      <c r="Q163" s="9">
        <v>0.87749999999999995</v>
      </c>
      <c r="R163" s="9">
        <v>13.3</v>
      </c>
      <c r="S163" s="9" t="s">
        <v>105</v>
      </c>
      <c r="T163" s="9" t="s">
        <v>158</v>
      </c>
      <c r="U163" s="9" t="b">
        <v>1</v>
      </c>
    </row>
    <row r="164" spans="1:21" x14ac:dyDescent="0.25">
      <c r="A164" s="9">
        <v>5475</v>
      </c>
      <c r="B164" s="9" t="s">
        <v>68</v>
      </c>
      <c r="C164" s="9" t="s">
        <v>69</v>
      </c>
      <c r="D164" s="9" t="s">
        <v>41</v>
      </c>
      <c r="E164" s="9">
        <v>2000</v>
      </c>
      <c r="F164" s="9">
        <v>2002</v>
      </c>
      <c r="G164" s="9">
        <v>2</v>
      </c>
      <c r="H164" s="9">
        <v>105373.27</v>
      </c>
      <c r="I164" s="9">
        <v>14296.18</v>
      </c>
      <c r="J164" s="9"/>
      <c r="K164" s="9">
        <v>5512.09</v>
      </c>
      <c r="L164" s="9">
        <v>26.23</v>
      </c>
      <c r="M164" s="9">
        <v>119695.67999999999</v>
      </c>
      <c r="N164" s="9">
        <v>88.03</v>
      </c>
      <c r="O164" s="9"/>
      <c r="P164" s="9"/>
      <c r="Q164" s="9"/>
      <c r="R164" s="9">
        <v>26.23</v>
      </c>
      <c r="S164" s="9" t="s">
        <v>43</v>
      </c>
      <c r="T164" s="9" t="s">
        <v>156</v>
      </c>
      <c r="U164" s="9" t="b">
        <v>0</v>
      </c>
    </row>
    <row r="165" spans="1:21" x14ac:dyDescent="0.25">
      <c r="A165" s="9">
        <v>5475</v>
      </c>
      <c r="B165" s="9" t="s">
        <v>68</v>
      </c>
      <c r="C165" s="9" t="s">
        <v>69</v>
      </c>
      <c r="D165" s="9" t="s">
        <v>88</v>
      </c>
      <c r="E165" s="9">
        <v>2002</v>
      </c>
      <c r="F165" s="9">
        <v>2004</v>
      </c>
      <c r="G165" s="9">
        <v>2</v>
      </c>
      <c r="H165" s="9">
        <v>104977.32</v>
      </c>
      <c r="I165" s="9">
        <v>13949.21</v>
      </c>
      <c r="J165" s="9"/>
      <c r="K165" s="9">
        <v>5935.99</v>
      </c>
      <c r="L165" s="9">
        <v>30.29</v>
      </c>
      <c r="M165" s="9">
        <v>118956.82</v>
      </c>
      <c r="N165" s="9">
        <v>88.25</v>
      </c>
      <c r="O165" s="9">
        <v>105373.27</v>
      </c>
      <c r="P165" s="9" t="s">
        <v>41</v>
      </c>
      <c r="Q165" s="9">
        <v>1.44E-2</v>
      </c>
      <c r="R165" s="9">
        <v>30.29</v>
      </c>
      <c r="S165" s="9" t="s">
        <v>89</v>
      </c>
      <c r="T165" s="9" t="s">
        <v>157</v>
      </c>
      <c r="U165" s="9" t="b">
        <v>0</v>
      </c>
    </row>
    <row r="166" spans="1:21" x14ac:dyDescent="0.25">
      <c r="A166" s="9">
        <v>5475</v>
      </c>
      <c r="B166" s="9" t="s">
        <v>68</v>
      </c>
      <c r="C166" s="9" t="s">
        <v>69</v>
      </c>
      <c r="D166" s="9" t="s">
        <v>90</v>
      </c>
      <c r="E166" s="9">
        <v>2004</v>
      </c>
      <c r="F166" s="9">
        <v>2006</v>
      </c>
      <c r="G166" s="9">
        <v>2</v>
      </c>
      <c r="H166" s="9">
        <v>106552.79</v>
      </c>
      <c r="I166" s="9">
        <v>14138.21</v>
      </c>
      <c r="J166" s="9">
        <v>0.79</v>
      </c>
      <c r="K166" s="9">
        <v>3875.48</v>
      </c>
      <c r="L166" s="9">
        <v>325.56</v>
      </c>
      <c r="M166" s="9">
        <v>121017.36</v>
      </c>
      <c r="N166" s="9">
        <v>88.05</v>
      </c>
      <c r="O166" s="9">
        <v>104977.32</v>
      </c>
      <c r="P166" s="9" t="s">
        <v>88</v>
      </c>
      <c r="Q166" s="9">
        <v>0.15509999999999999</v>
      </c>
      <c r="R166" s="9">
        <v>324.77</v>
      </c>
      <c r="S166" s="9" t="s">
        <v>89</v>
      </c>
      <c r="T166" s="9" t="s">
        <v>157</v>
      </c>
      <c r="U166" s="9" t="b">
        <v>0</v>
      </c>
    </row>
    <row r="167" spans="1:21" x14ac:dyDescent="0.25">
      <c r="A167" s="9">
        <v>5475</v>
      </c>
      <c r="B167" s="9" t="s">
        <v>68</v>
      </c>
      <c r="C167" s="9" t="s">
        <v>69</v>
      </c>
      <c r="D167" s="9" t="s">
        <v>91</v>
      </c>
      <c r="E167" s="9">
        <v>2006</v>
      </c>
      <c r="F167" s="9">
        <v>2008</v>
      </c>
      <c r="G167" s="9">
        <v>2</v>
      </c>
      <c r="H167" s="9">
        <v>105886.42</v>
      </c>
      <c r="I167" s="9">
        <v>14487.07</v>
      </c>
      <c r="J167" s="9">
        <v>3.35</v>
      </c>
      <c r="K167" s="9">
        <v>4449.41</v>
      </c>
      <c r="L167" s="9">
        <v>66.400000000000006</v>
      </c>
      <c r="M167" s="9">
        <v>120443.24</v>
      </c>
      <c r="N167" s="9">
        <v>87.91</v>
      </c>
      <c r="O167" s="9">
        <v>106552.79</v>
      </c>
      <c r="P167" s="9" t="s">
        <v>90</v>
      </c>
      <c r="Q167" s="9">
        <v>3.1199999999999999E-2</v>
      </c>
      <c r="R167" s="9">
        <v>63.05</v>
      </c>
      <c r="S167" s="9" t="s">
        <v>89</v>
      </c>
      <c r="T167" s="9" t="s">
        <v>157</v>
      </c>
      <c r="U167" s="9" t="b">
        <v>0</v>
      </c>
    </row>
    <row r="168" spans="1:21" x14ac:dyDescent="0.25">
      <c r="A168" s="9">
        <v>5475</v>
      </c>
      <c r="B168" s="9" t="s">
        <v>68</v>
      </c>
      <c r="C168" s="9" t="s">
        <v>69</v>
      </c>
      <c r="D168" s="9" t="s">
        <v>92</v>
      </c>
      <c r="E168" s="9">
        <v>2008</v>
      </c>
      <c r="F168" s="9">
        <v>2010</v>
      </c>
      <c r="G168" s="9">
        <v>2</v>
      </c>
      <c r="H168" s="9">
        <v>106667.9</v>
      </c>
      <c r="I168" s="9">
        <v>14345.85</v>
      </c>
      <c r="J168" s="9"/>
      <c r="K168" s="9">
        <v>3690.52</v>
      </c>
      <c r="L168" s="9">
        <v>189.09</v>
      </c>
      <c r="M168" s="9">
        <v>121202.84</v>
      </c>
      <c r="N168" s="9">
        <v>88.01</v>
      </c>
      <c r="O168" s="9">
        <v>105886.42</v>
      </c>
      <c r="P168" s="9" t="s">
        <v>91</v>
      </c>
      <c r="Q168" s="9">
        <v>8.9300000000000004E-2</v>
      </c>
      <c r="R168" s="9">
        <v>189.09</v>
      </c>
      <c r="S168" s="9" t="s">
        <v>89</v>
      </c>
      <c r="T168" s="9" t="s">
        <v>157</v>
      </c>
      <c r="U168" s="9" t="b">
        <v>0</v>
      </c>
    </row>
    <row r="169" spans="1:21" x14ac:dyDescent="0.25">
      <c r="A169" s="9">
        <v>5475</v>
      </c>
      <c r="B169" s="9" t="s">
        <v>68</v>
      </c>
      <c r="C169" s="9" t="s">
        <v>69</v>
      </c>
      <c r="D169" s="9" t="s">
        <v>93</v>
      </c>
      <c r="E169" s="9">
        <v>2010</v>
      </c>
      <c r="F169" s="9">
        <v>2012</v>
      </c>
      <c r="G169" s="9">
        <v>2</v>
      </c>
      <c r="H169" s="9"/>
      <c r="I169" s="9"/>
      <c r="J169" s="9"/>
      <c r="K169" s="9"/>
      <c r="L169" s="9">
        <v>95.27</v>
      </c>
      <c r="M169" s="9"/>
      <c r="N169" s="9"/>
      <c r="O169" s="9">
        <v>106667.9</v>
      </c>
      <c r="P169" s="9" t="s">
        <v>92</v>
      </c>
      <c r="Q169" s="9">
        <v>4.4699999999999997E-2</v>
      </c>
      <c r="R169" s="9">
        <v>95.27</v>
      </c>
      <c r="S169" s="9" t="s">
        <v>94</v>
      </c>
      <c r="T169" s="9" t="s">
        <v>158</v>
      </c>
      <c r="U169" s="9" t="b">
        <v>1</v>
      </c>
    </row>
    <row r="170" spans="1:21" x14ac:dyDescent="0.25">
      <c r="A170" s="9">
        <v>5475</v>
      </c>
      <c r="B170" s="9" t="s">
        <v>68</v>
      </c>
      <c r="C170" s="9" t="s">
        <v>69</v>
      </c>
      <c r="D170" s="9" t="s">
        <v>96</v>
      </c>
      <c r="E170" s="9">
        <v>2012</v>
      </c>
      <c r="F170" s="9">
        <v>2013</v>
      </c>
      <c r="G170" s="9">
        <v>1</v>
      </c>
      <c r="H170" s="9">
        <v>95068.81</v>
      </c>
      <c r="I170" s="9">
        <v>17030.580000000002</v>
      </c>
      <c r="J170" s="9"/>
      <c r="K170" s="9">
        <v>12952.36</v>
      </c>
      <c r="L170" s="9">
        <v>19.059999999999999</v>
      </c>
      <c r="M170" s="9">
        <v>112118.44</v>
      </c>
      <c r="N170" s="9">
        <v>84.79</v>
      </c>
      <c r="O170" s="9">
        <v>106667.9</v>
      </c>
      <c r="P170" s="9" t="s">
        <v>92</v>
      </c>
      <c r="Q170" s="9">
        <v>1.7899999999999999E-2</v>
      </c>
      <c r="R170" s="9">
        <v>19.059999999999999</v>
      </c>
      <c r="S170" s="9" t="s">
        <v>97</v>
      </c>
      <c r="T170" s="9" t="s">
        <v>159</v>
      </c>
      <c r="U170" s="9" t="b">
        <v>0</v>
      </c>
    </row>
    <row r="171" spans="1:21" x14ac:dyDescent="0.25">
      <c r="A171" s="9">
        <v>5475</v>
      </c>
      <c r="B171" s="9" t="s">
        <v>68</v>
      </c>
      <c r="C171" s="9" t="s">
        <v>69</v>
      </c>
      <c r="D171" s="9" t="s">
        <v>98</v>
      </c>
      <c r="E171" s="9">
        <v>2013</v>
      </c>
      <c r="F171" s="9">
        <v>2014</v>
      </c>
      <c r="G171" s="9">
        <v>1</v>
      </c>
      <c r="H171" s="9">
        <v>100663.45</v>
      </c>
      <c r="I171" s="9">
        <v>23816.31</v>
      </c>
      <c r="J171" s="9"/>
      <c r="K171" s="9">
        <v>555.99</v>
      </c>
      <c r="L171" s="9">
        <v>114.27</v>
      </c>
      <c r="M171" s="9">
        <v>124594.03</v>
      </c>
      <c r="N171" s="9">
        <v>80.790000000000006</v>
      </c>
      <c r="O171" s="9">
        <v>95068.81</v>
      </c>
      <c r="P171" s="9" t="s">
        <v>96</v>
      </c>
      <c r="Q171" s="9">
        <v>0.1202</v>
      </c>
      <c r="R171" s="9">
        <v>114.27</v>
      </c>
      <c r="S171" s="9" t="s">
        <v>89</v>
      </c>
      <c r="T171" s="9" t="s">
        <v>157</v>
      </c>
      <c r="U171" s="9" t="b">
        <v>0</v>
      </c>
    </row>
    <row r="172" spans="1:21" x14ac:dyDescent="0.25">
      <c r="A172" s="9">
        <v>5475</v>
      </c>
      <c r="B172" s="9" t="s">
        <v>68</v>
      </c>
      <c r="C172" s="9" t="s">
        <v>69</v>
      </c>
      <c r="D172" s="9" t="s">
        <v>99</v>
      </c>
      <c r="E172" s="9">
        <v>2014</v>
      </c>
      <c r="F172" s="9">
        <v>2015</v>
      </c>
      <c r="G172" s="9">
        <v>1</v>
      </c>
      <c r="H172" s="9">
        <v>80439.02</v>
      </c>
      <c r="I172" s="9">
        <v>22219.47</v>
      </c>
      <c r="J172" s="9"/>
      <c r="K172" s="9">
        <v>22160.39</v>
      </c>
      <c r="L172" s="9">
        <v>69.430000000000007</v>
      </c>
      <c r="M172" s="9">
        <v>102727.92</v>
      </c>
      <c r="N172" s="9">
        <v>78.3</v>
      </c>
      <c r="O172" s="9">
        <v>100663.45</v>
      </c>
      <c r="P172" s="9" t="s">
        <v>98</v>
      </c>
      <c r="Q172" s="9">
        <v>6.9000000000000006E-2</v>
      </c>
      <c r="R172" s="9">
        <v>69.430000000000007</v>
      </c>
      <c r="S172" s="9" t="s">
        <v>43</v>
      </c>
      <c r="T172" s="9" t="s">
        <v>156</v>
      </c>
      <c r="U172" s="9" t="b">
        <v>0</v>
      </c>
    </row>
    <row r="173" spans="1:21" x14ac:dyDescent="0.25">
      <c r="A173" s="9">
        <v>5475</v>
      </c>
      <c r="B173" s="9" t="s">
        <v>68</v>
      </c>
      <c r="C173" s="9" t="s">
        <v>69</v>
      </c>
      <c r="D173" s="9" t="s">
        <v>100</v>
      </c>
      <c r="E173" s="9">
        <v>2015</v>
      </c>
      <c r="F173" s="9">
        <v>2016</v>
      </c>
      <c r="G173" s="9">
        <v>1</v>
      </c>
      <c r="H173" s="9"/>
      <c r="I173" s="9"/>
      <c r="J173" s="9"/>
      <c r="K173" s="9"/>
      <c r="L173" s="9">
        <v>156.08000000000001</v>
      </c>
      <c r="M173" s="9"/>
      <c r="N173" s="9"/>
      <c r="O173" s="9">
        <v>80439.02</v>
      </c>
      <c r="P173" s="9" t="s">
        <v>99</v>
      </c>
      <c r="Q173" s="9">
        <v>0.19400000000000001</v>
      </c>
      <c r="R173" s="9">
        <v>156.08000000000001</v>
      </c>
      <c r="S173" s="9" t="s">
        <v>105</v>
      </c>
      <c r="T173" s="9" t="s">
        <v>158</v>
      </c>
      <c r="U173" s="9" t="b">
        <v>1</v>
      </c>
    </row>
    <row r="174" spans="1:21" x14ac:dyDescent="0.25">
      <c r="A174" s="9">
        <v>5475</v>
      </c>
      <c r="B174" s="9" t="s">
        <v>68</v>
      </c>
      <c r="C174" s="9" t="s">
        <v>69</v>
      </c>
      <c r="D174" s="9" t="s">
        <v>102</v>
      </c>
      <c r="E174" s="9">
        <v>2016</v>
      </c>
      <c r="F174" s="9">
        <v>2017</v>
      </c>
      <c r="G174" s="9">
        <v>1</v>
      </c>
      <c r="H174" s="9">
        <v>69025.399999999994</v>
      </c>
      <c r="I174" s="9">
        <v>22755.21</v>
      </c>
      <c r="J174" s="9"/>
      <c r="K174" s="9">
        <v>32870.400000000001</v>
      </c>
      <c r="L174" s="9">
        <v>242.73</v>
      </c>
      <c r="M174" s="9">
        <v>92023.34</v>
      </c>
      <c r="N174" s="9">
        <v>75.010000000000005</v>
      </c>
      <c r="O174" s="9">
        <v>80439.02</v>
      </c>
      <c r="P174" s="9" t="s">
        <v>99</v>
      </c>
      <c r="Q174" s="9">
        <v>0.30180000000000001</v>
      </c>
      <c r="R174" s="9">
        <v>242.73</v>
      </c>
      <c r="S174" s="9" t="s">
        <v>89</v>
      </c>
      <c r="T174" s="9" t="s">
        <v>157</v>
      </c>
      <c r="U174" s="9" t="b">
        <v>0</v>
      </c>
    </row>
    <row r="175" spans="1:21" x14ac:dyDescent="0.25">
      <c r="A175" s="9">
        <v>5475</v>
      </c>
      <c r="B175" s="9" t="s">
        <v>68</v>
      </c>
      <c r="C175" s="9" t="s">
        <v>69</v>
      </c>
      <c r="D175" s="9" t="s">
        <v>103</v>
      </c>
      <c r="E175" s="9">
        <v>2017</v>
      </c>
      <c r="F175" s="9">
        <v>2018</v>
      </c>
      <c r="G175" s="9">
        <v>1</v>
      </c>
      <c r="H175" s="9">
        <v>99309.9</v>
      </c>
      <c r="I175" s="9">
        <v>24733.98</v>
      </c>
      <c r="J175" s="9">
        <v>17.489999999999998</v>
      </c>
      <c r="K175" s="9">
        <v>636.77</v>
      </c>
      <c r="L175" s="9">
        <v>195.56</v>
      </c>
      <c r="M175" s="9">
        <v>124256.92</v>
      </c>
      <c r="N175" s="9">
        <v>79.92</v>
      </c>
      <c r="O175" s="9">
        <v>69025.399999999994</v>
      </c>
      <c r="P175" s="9" t="s">
        <v>102</v>
      </c>
      <c r="Q175" s="9">
        <v>0.2833</v>
      </c>
      <c r="R175" s="9">
        <v>178.07</v>
      </c>
      <c r="S175" s="9" t="s">
        <v>89</v>
      </c>
      <c r="T175" s="9" t="s">
        <v>157</v>
      </c>
      <c r="U175" s="9" t="b">
        <v>0</v>
      </c>
    </row>
    <row r="176" spans="1:21" x14ac:dyDescent="0.25">
      <c r="A176" s="9">
        <v>5475</v>
      </c>
      <c r="B176" s="9" t="s">
        <v>68</v>
      </c>
      <c r="C176" s="9" t="s">
        <v>69</v>
      </c>
      <c r="D176" s="9" t="s">
        <v>104</v>
      </c>
      <c r="E176" s="9">
        <v>2018</v>
      </c>
      <c r="F176" s="9">
        <v>2019</v>
      </c>
      <c r="G176" s="9">
        <v>1</v>
      </c>
      <c r="H176" s="9"/>
      <c r="I176" s="9"/>
      <c r="J176" s="9"/>
      <c r="K176" s="9"/>
      <c r="L176" s="9">
        <v>147.76</v>
      </c>
      <c r="M176" s="9"/>
      <c r="N176" s="9"/>
      <c r="O176" s="9">
        <v>99309.9</v>
      </c>
      <c r="P176" s="9" t="s">
        <v>103</v>
      </c>
      <c r="Q176" s="9">
        <v>0.14879999999999999</v>
      </c>
      <c r="R176" s="9">
        <v>147.76</v>
      </c>
      <c r="S176" s="9" t="s">
        <v>105</v>
      </c>
      <c r="T176" s="9" t="s">
        <v>158</v>
      </c>
      <c r="U176" s="9" t="b">
        <v>1</v>
      </c>
    </row>
    <row r="177" spans="1:21" x14ac:dyDescent="0.25">
      <c r="A177" s="9">
        <v>5475</v>
      </c>
      <c r="B177" s="9" t="s">
        <v>68</v>
      </c>
      <c r="C177" s="9" t="s">
        <v>69</v>
      </c>
      <c r="D177" s="9" t="s">
        <v>106</v>
      </c>
      <c r="E177" s="9">
        <v>2019</v>
      </c>
      <c r="F177" s="9">
        <v>2020</v>
      </c>
      <c r="G177" s="9">
        <v>1</v>
      </c>
      <c r="H177" s="9">
        <v>97482.38</v>
      </c>
      <c r="I177" s="9">
        <v>25488.79</v>
      </c>
      <c r="J177" s="9"/>
      <c r="K177" s="9">
        <v>1822.48</v>
      </c>
      <c r="L177" s="9">
        <v>99.97</v>
      </c>
      <c r="M177" s="9">
        <v>123071.15</v>
      </c>
      <c r="N177" s="9">
        <v>79.209999999999994</v>
      </c>
      <c r="O177" s="9">
        <v>99309.9</v>
      </c>
      <c r="P177" s="9" t="s">
        <v>103</v>
      </c>
      <c r="Q177" s="9">
        <v>0.1007</v>
      </c>
      <c r="R177" s="9">
        <v>99.97</v>
      </c>
      <c r="S177" s="9" t="s">
        <v>89</v>
      </c>
      <c r="T177" s="9" t="s">
        <v>157</v>
      </c>
      <c r="U177" s="9" t="b">
        <v>0</v>
      </c>
    </row>
    <row r="178" spans="1:21" x14ac:dyDescent="0.25">
      <c r="A178" s="9">
        <v>5475</v>
      </c>
      <c r="B178" s="9" t="s">
        <v>68</v>
      </c>
      <c r="C178" s="9" t="s">
        <v>69</v>
      </c>
      <c r="D178" s="9" t="s">
        <v>107</v>
      </c>
      <c r="E178" s="9">
        <v>2020</v>
      </c>
      <c r="F178" s="9">
        <v>2021</v>
      </c>
      <c r="G178" s="9">
        <v>1</v>
      </c>
      <c r="H178" s="9">
        <v>98261.43</v>
      </c>
      <c r="I178" s="9">
        <v>25608.799999999999</v>
      </c>
      <c r="J178" s="9"/>
      <c r="K178" s="9">
        <v>915.25</v>
      </c>
      <c r="L178" s="9">
        <v>108.15</v>
      </c>
      <c r="M178" s="9">
        <v>123978.38</v>
      </c>
      <c r="N178" s="9">
        <v>79.260000000000005</v>
      </c>
      <c r="O178" s="9">
        <v>97482.38</v>
      </c>
      <c r="P178" s="9" t="s">
        <v>106</v>
      </c>
      <c r="Q178" s="9">
        <v>0.1109</v>
      </c>
      <c r="R178" s="9">
        <v>108.15</v>
      </c>
      <c r="S178" s="9" t="s">
        <v>89</v>
      </c>
      <c r="T178" s="9" t="s">
        <v>157</v>
      </c>
      <c r="U178" s="9" t="b">
        <v>0</v>
      </c>
    </row>
    <row r="179" spans="1:21" x14ac:dyDescent="0.25">
      <c r="A179" s="9">
        <v>5475</v>
      </c>
      <c r="B179" s="9" t="s">
        <v>68</v>
      </c>
      <c r="C179" s="9" t="s">
        <v>69</v>
      </c>
      <c r="D179" s="9" t="s">
        <v>108</v>
      </c>
      <c r="E179" s="9">
        <v>2021</v>
      </c>
      <c r="F179" s="9">
        <v>2022</v>
      </c>
      <c r="G179" s="9">
        <v>1</v>
      </c>
      <c r="H179" s="9">
        <v>95146.6</v>
      </c>
      <c r="I179" s="9">
        <v>25727.200000000001</v>
      </c>
      <c r="J179" s="9"/>
      <c r="K179" s="9">
        <v>3832.02</v>
      </c>
      <c r="L179" s="9">
        <v>187.89</v>
      </c>
      <c r="M179" s="9">
        <v>121061.69</v>
      </c>
      <c r="N179" s="9">
        <v>78.59</v>
      </c>
      <c r="O179" s="9">
        <v>98261.43</v>
      </c>
      <c r="P179" s="9" t="s">
        <v>107</v>
      </c>
      <c r="Q179" s="9">
        <v>0.19120000000000001</v>
      </c>
      <c r="R179" s="9">
        <v>187.89</v>
      </c>
      <c r="S179" s="9" t="s">
        <v>89</v>
      </c>
      <c r="T179" s="9" t="s">
        <v>157</v>
      </c>
      <c r="U179" s="9" t="b">
        <v>0</v>
      </c>
    </row>
    <row r="180" spans="1:21" x14ac:dyDescent="0.25">
      <c r="A180" s="9">
        <v>5475</v>
      </c>
      <c r="B180" s="9" t="s">
        <v>68</v>
      </c>
      <c r="C180" s="9" t="s">
        <v>69</v>
      </c>
      <c r="D180" s="9" t="s">
        <v>109</v>
      </c>
      <c r="E180" s="9">
        <v>2022</v>
      </c>
      <c r="F180" s="9">
        <v>2023</v>
      </c>
      <c r="G180" s="9">
        <v>1</v>
      </c>
      <c r="H180" s="9">
        <v>98850</v>
      </c>
      <c r="I180" s="9">
        <v>25964.69</v>
      </c>
      <c r="J180" s="9"/>
      <c r="K180" s="9">
        <v>6.28</v>
      </c>
      <c r="L180" s="9">
        <v>72.680000000000007</v>
      </c>
      <c r="M180" s="9">
        <v>124887.37</v>
      </c>
      <c r="N180" s="9">
        <v>79.150000000000006</v>
      </c>
      <c r="O180" s="9">
        <v>95146.6</v>
      </c>
      <c r="P180" s="9" t="s">
        <v>108</v>
      </c>
      <c r="Q180" s="9">
        <v>7.6399999999999996E-2</v>
      </c>
      <c r="R180" s="9">
        <v>72.680000000000007</v>
      </c>
      <c r="S180" s="9" t="s">
        <v>89</v>
      </c>
      <c r="T180" s="9" t="s">
        <v>157</v>
      </c>
      <c r="U180" s="9" t="b">
        <v>0</v>
      </c>
    </row>
    <row r="181" spans="1:21" x14ac:dyDescent="0.25">
      <c r="A181" s="9">
        <v>5475</v>
      </c>
      <c r="B181" s="9" t="s">
        <v>68</v>
      </c>
      <c r="C181" s="9" t="s">
        <v>69</v>
      </c>
      <c r="D181" s="9" t="s">
        <v>110</v>
      </c>
      <c r="E181" s="9">
        <v>2023</v>
      </c>
      <c r="F181" s="9">
        <v>2024</v>
      </c>
      <c r="G181" s="9">
        <v>1</v>
      </c>
      <c r="H181" s="9"/>
      <c r="I181" s="9"/>
      <c r="J181" s="9"/>
      <c r="K181" s="9"/>
      <c r="L181" s="9">
        <v>87.44</v>
      </c>
      <c r="M181" s="9"/>
      <c r="N181" s="9"/>
      <c r="O181" s="9">
        <v>98850</v>
      </c>
      <c r="P181" s="9" t="s">
        <v>109</v>
      </c>
      <c r="Q181" s="9">
        <v>8.8499999999999995E-2</v>
      </c>
      <c r="R181" s="9">
        <v>87.44</v>
      </c>
      <c r="S181" s="9" t="s">
        <v>105</v>
      </c>
      <c r="T181" s="9" t="s">
        <v>158</v>
      </c>
      <c r="U181" s="9" t="b">
        <v>1</v>
      </c>
    </row>
    <row r="182" spans="1:21" x14ac:dyDescent="0.25">
      <c r="A182" s="9">
        <v>5480</v>
      </c>
      <c r="B182" s="9" t="s">
        <v>71</v>
      </c>
      <c r="C182" s="9" t="s">
        <v>49</v>
      </c>
      <c r="D182" s="9" t="s">
        <v>41</v>
      </c>
      <c r="E182" s="9">
        <v>2000</v>
      </c>
      <c r="F182" s="9">
        <v>2002</v>
      </c>
      <c r="G182" s="9">
        <v>2</v>
      </c>
      <c r="H182" s="9">
        <v>67022.679999999993</v>
      </c>
      <c r="I182" s="9">
        <v>35050.85</v>
      </c>
      <c r="J182" s="9"/>
      <c r="K182" s="9">
        <v>3730.56</v>
      </c>
      <c r="L182" s="9">
        <v>285.86</v>
      </c>
      <c r="M182" s="9">
        <v>102359.38</v>
      </c>
      <c r="N182" s="9">
        <v>65.48</v>
      </c>
      <c r="O182" s="9"/>
      <c r="P182" s="9"/>
      <c r="Q182" s="9"/>
      <c r="R182" s="9">
        <v>285.86</v>
      </c>
      <c r="S182" s="9" t="s">
        <v>43</v>
      </c>
      <c r="T182" s="9" t="s">
        <v>156</v>
      </c>
      <c r="U182" s="9" t="b">
        <v>0</v>
      </c>
    </row>
    <row r="183" spans="1:21" x14ac:dyDescent="0.25">
      <c r="A183" s="9">
        <v>5480</v>
      </c>
      <c r="B183" s="9" t="s">
        <v>71</v>
      </c>
      <c r="C183" s="9" t="s">
        <v>49</v>
      </c>
      <c r="D183" s="9" t="s">
        <v>88</v>
      </c>
      <c r="E183" s="9">
        <v>2002</v>
      </c>
      <c r="F183" s="9">
        <v>2004</v>
      </c>
      <c r="G183" s="9">
        <v>2</v>
      </c>
      <c r="H183" s="9">
        <v>66668.25</v>
      </c>
      <c r="I183" s="9">
        <v>35100.53</v>
      </c>
      <c r="J183" s="9"/>
      <c r="K183" s="9">
        <v>3544.78</v>
      </c>
      <c r="L183" s="9">
        <v>575.37</v>
      </c>
      <c r="M183" s="9">
        <v>102344.15</v>
      </c>
      <c r="N183" s="9">
        <v>65.14</v>
      </c>
      <c r="O183" s="9">
        <v>67022.679999999993</v>
      </c>
      <c r="P183" s="9" t="s">
        <v>41</v>
      </c>
      <c r="Q183" s="9">
        <v>0.42920000000000003</v>
      </c>
      <c r="R183" s="9">
        <v>575.37</v>
      </c>
      <c r="S183" s="9" t="s">
        <v>89</v>
      </c>
      <c r="T183" s="9" t="s">
        <v>157</v>
      </c>
      <c r="U183" s="9" t="b">
        <v>0</v>
      </c>
    </row>
    <row r="184" spans="1:21" x14ac:dyDescent="0.25">
      <c r="A184" s="9">
        <v>5480</v>
      </c>
      <c r="B184" s="9" t="s">
        <v>71</v>
      </c>
      <c r="C184" s="9" t="s">
        <v>49</v>
      </c>
      <c r="D184" s="9" t="s">
        <v>90</v>
      </c>
      <c r="E184" s="9">
        <v>2004</v>
      </c>
      <c r="F184" s="9">
        <v>2006</v>
      </c>
      <c r="G184" s="9">
        <v>2</v>
      </c>
      <c r="H184" s="9">
        <v>68393.509999999995</v>
      </c>
      <c r="I184" s="9">
        <v>35926.480000000003</v>
      </c>
      <c r="J184" s="9">
        <v>21.64</v>
      </c>
      <c r="K184" s="9">
        <v>1231.8</v>
      </c>
      <c r="L184" s="9">
        <v>314.64999999999998</v>
      </c>
      <c r="M184" s="9">
        <v>104656.28</v>
      </c>
      <c r="N184" s="9">
        <v>65.349999999999994</v>
      </c>
      <c r="O184" s="9">
        <v>66668.25</v>
      </c>
      <c r="P184" s="9" t="s">
        <v>88</v>
      </c>
      <c r="Q184" s="9">
        <v>0.23599999999999999</v>
      </c>
      <c r="R184" s="9">
        <v>293.01</v>
      </c>
      <c r="S184" s="9" t="s">
        <v>89</v>
      </c>
      <c r="T184" s="9" t="s">
        <v>157</v>
      </c>
      <c r="U184" s="9" t="b">
        <v>0</v>
      </c>
    </row>
    <row r="185" spans="1:21" x14ac:dyDescent="0.25">
      <c r="A185" s="9">
        <v>5480</v>
      </c>
      <c r="B185" s="9" t="s">
        <v>71</v>
      </c>
      <c r="C185" s="9" t="s">
        <v>49</v>
      </c>
      <c r="D185" s="9" t="s">
        <v>91</v>
      </c>
      <c r="E185" s="9">
        <v>2006</v>
      </c>
      <c r="F185" s="9">
        <v>2008</v>
      </c>
      <c r="G185" s="9">
        <v>2</v>
      </c>
      <c r="H185" s="9">
        <v>65897.05</v>
      </c>
      <c r="I185" s="9">
        <v>36327.51</v>
      </c>
      <c r="J185" s="9"/>
      <c r="K185" s="9">
        <v>3294.82</v>
      </c>
      <c r="L185" s="9">
        <v>368.77</v>
      </c>
      <c r="M185" s="9">
        <v>102593.32</v>
      </c>
      <c r="N185" s="9">
        <v>64.23</v>
      </c>
      <c r="O185" s="9">
        <v>68393.509999999995</v>
      </c>
      <c r="P185" s="9" t="s">
        <v>90</v>
      </c>
      <c r="Q185" s="9">
        <v>0.26960000000000001</v>
      </c>
      <c r="R185" s="9">
        <v>368.77</v>
      </c>
      <c r="S185" s="9" t="s">
        <v>89</v>
      </c>
      <c r="T185" s="9" t="s">
        <v>157</v>
      </c>
      <c r="U185" s="9" t="b">
        <v>0</v>
      </c>
    </row>
    <row r="186" spans="1:21" x14ac:dyDescent="0.25">
      <c r="A186" s="9">
        <v>5480</v>
      </c>
      <c r="B186" s="9" t="s">
        <v>71</v>
      </c>
      <c r="C186" s="9" t="s">
        <v>49</v>
      </c>
      <c r="D186" s="9" t="s">
        <v>92</v>
      </c>
      <c r="E186" s="9">
        <v>2008</v>
      </c>
      <c r="F186" s="9">
        <v>2010</v>
      </c>
      <c r="G186" s="9">
        <v>2</v>
      </c>
      <c r="H186" s="9">
        <v>66621.05</v>
      </c>
      <c r="I186" s="9">
        <v>36583.49</v>
      </c>
      <c r="J186" s="9"/>
      <c r="K186" s="9">
        <v>2125.48</v>
      </c>
      <c r="L186" s="9">
        <v>558.14</v>
      </c>
      <c r="M186" s="9">
        <v>103762.68</v>
      </c>
      <c r="N186" s="9">
        <v>64.209999999999994</v>
      </c>
      <c r="O186" s="9">
        <v>65897.05</v>
      </c>
      <c r="P186" s="9" t="s">
        <v>91</v>
      </c>
      <c r="Q186" s="9">
        <v>0.42349999999999999</v>
      </c>
      <c r="R186" s="9">
        <v>558.14</v>
      </c>
      <c r="S186" s="9" t="s">
        <v>89</v>
      </c>
      <c r="T186" s="9" t="s">
        <v>157</v>
      </c>
      <c r="U186" s="9" t="b">
        <v>0</v>
      </c>
    </row>
    <row r="187" spans="1:21" x14ac:dyDescent="0.25">
      <c r="A187" s="9">
        <v>5480</v>
      </c>
      <c r="B187" s="9" t="s">
        <v>71</v>
      </c>
      <c r="C187" s="9" t="s">
        <v>49</v>
      </c>
      <c r="D187" s="9" t="s">
        <v>93</v>
      </c>
      <c r="E187" s="9">
        <v>2010</v>
      </c>
      <c r="F187" s="9">
        <v>2012</v>
      </c>
      <c r="G187" s="9">
        <v>2</v>
      </c>
      <c r="H187" s="9"/>
      <c r="I187" s="9"/>
      <c r="J187" s="9"/>
      <c r="K187" s="9"/>
      <c r="L187" s="9">
        <v>270.38</v>
      </c>
      <c r="M187" s="9"/>
      <c r="N187" s="9"/>
      <c r="O187" s="9">
        <v>66621.05</v>
      </c>
      <c r="P187" s="9" t="s">
        <v>92</v>
      </c>
      <c r="Q187" s="9">
        <v>0.2029</v>
      </c>
      <c r="R187" s="9">
        <v>270.38</v>
      </c>
      <c r="S187" s="9" t="s">
        <v>94</v>
      </c>
      <c r="T187" s="9" t="s">
        <v>158</v>
      </c>
      <c r="U187" s="9" t="b">
        <v>1</v>
      </c>
    </row>
    <row r="188" spans="1:21" x14ac:dyDescent="0.25">
      <c r="A188" s="9">
        <v>5480</v>
      </c>
      <c r="B188" s="9" t="s">
        <v>71</v>
      </c>
      <c r="C188" s="9" t="s">
        <v>49</v>
      </c>
      <c r="D188" s="9" t="s">
        <v>96</v>
      </c>
      <c r="E188" s="9">
        <v>2012</v>
      </c>
      <c r="F188" s="9">
        <v>2013</v>
      </c>
      <c r="G188" s="9">
        <v>1</v>
      </c>
      <c r="H188" s="9">
        <v>66454.66</v>
      </c>
      <c r="I188" s="9">
        <v>37069.71</v>
      </c>
      <c r="J188" s="9"/>
      <c r="K188" s="9">
        <v>2434.83</v>
      </c>
      <c r="L188" s="9">
        <v>43.32</v>
      </c>
      <c r="M188" s="9">
        <v>103567.69</v>
      </c>
      <c r="N188" s="9">
        <v>64.17</v>
      </c>
      <c r="O188" s="9">
        <v>66621.05</v>
      </c>
      <c r="P188" s="9" t="s">
        <v>92</v>
      </c>
      <c r="Q188" s="9">
        <v>6.5000000000000002E-2</v>
      </c>
      <c r="R188" s="9">
        <v>43.32</v>
      </c>
      <c r="S188" s="9" t="s">
        <v>97</v>
      </c>
      <c r="T188" s="9" t="s">
        <v>159</v>
      </c>
      <c r="U188" s="9" t="b">
        <v>0</v>
      </c>
    </row>
    <row r="189" spans="1:21" x14ac:dyDescent="0.25">
      <c r="A189" s="9">
        <v>5480</v>
      </c>
      <c r="B189" s="9" t="s">
        <v>71</v>
      </c>
      <c r="C189" s="9" t="s">
        <v>49</v>
      </c>
      <c r="D189" s="9" t="s">
        <v>98</v>
      </c>
      <c r="E189" s="9">
        <v>2013</v>
      </c>
      <c r="F189" s="9">
        <v>2014</v>
      </c>
      <c r="G189" s="9">
        <v>1</v>
      </c>
      <c r="H189" s="9">
        <v>64140.13</v>
      </c>
      <c r="I189" s="9">
        <v>37467.08</v>
      </c>
      <c r="J189" s="9"/>
      <c r="K189" s="9">
        <v>4335.2</v>
      </c>
      <c r="L189" s="9">
        <v>116.46</v>
      </c>
      <c r="M189" s="9">
        <v>101723.67</v>
      </c>
      <c r="N189" s="9">
        <v>63.05</v>
      </c>
      <c r="O189" s="9">
        <v>66454.66</v>
      </c>
      <c r="P189" s="9" t="s">
        <v>96</v>
      </c>
      <c r="Q189" s="9">
        <v>0.17519999999999999</v>
      </c>
      <c r="R189" s="9">
        <v>116.46</v>
      </c>
      <c r="S189" s="9" t="s">
        <v>89</v>
      </c>
      <c r="T189" s="9" t="s">
        <v>157</v>
      </c>
      <c r="U189" s="9" t="b">
        <v>0</v>
      </c>
    </row>
    <row r="190" spans="1:21" x14ac:dyDescent="0.25">
      <c r="A190" s="9">
        <v>5480</v>
      </c>
      <c r="B190" s="9" t="s">
        <v>71</v>
      </c>
      <c r="C190" s="9" t="s">
        <v>49</v>
      </c>
      <c r="D190" s="9" t="s">
        <v>99</v>
      </c>
      <c r="E190" s="9">
        <v>2014</v>
      </c>
      <c r="F190" s="9">
        <v>2015</v>
      </c>
      <c r="G190" s="9">
        <v>1</v>
      </c>
      <c r="H190" s="9">
        <v>63076.71</v>
      </c>
      <c r="I190" s="9">
        <v>36984.47</v>
      </c>
      <c r="J190" s="9"/>
      <c r="K190" s="9">
        <v>5655.75</v>
      </c>
      <c r="L190" s="9">
        <v>159.35</v>
      </c>
      <c r="M190" s="9">
        <v>100220.53</v>
      </c>
      <c r="N190" s="9">
        <v>62.94</v>
      </c>
      <c r="O190" s="9">
        <v>64140.13</v>
      </c>
      <c r="P190" s="9" t="s">
        <v>98</v>
      </c>
      <c r="Q190" s="9">
        <v>0.24840000000000001</v>
      </c>
      <c r="R190" s="9">
        <v>159.35</v>
      </c>
      <c r="S190" s="9" t="s">
        <v>43</v>
      </c>
      <c r="T190" s="9" t="s">
        <v>156</v>
      </c>
      <c r="U190" s="9" t="b">
        <v>0</v>
      </c>
    </row>
    <row r="191" spans="1:21" x14ac:dyDescent="0.25">
      <c r="A191" s="9">
        <v>5480</v>
      </c>
      <c r="B191" s="9" t="s">
        <v>71</v>
      </c>
      <c r="C191" s="9" t="s">
        <v>49</v>
      </c>
      <c r="D191" s="9" t="s">
        <v>100</v>
      </c>
      <c r="E191" s="9">
        <v>2015</v>
      </c>
      <c r="F191" s="9">
        <v>2016</v>
      </c>
      <c r="G191" s="9">
        <v>1</v>
      </c>
      <c r="H191" s="9"/>
      <c r="I191" s="9"/>
      <c r="J191" s="9"/>
      <c r="K191" s="9"/>
      <c r="L191" s="9">
        <v>559</v>
      </c>
      <c r="M191" s="9"/>
      <c r="N191" s="9"/>
      <c r="O191" s="9">
        <v>63076.71</v>
      </c>
      <c r="P191" s="9" t="s">
        <v>99</v>
      </c>
      <c r="Q191" s="9">
        <v>0.88619999999999999</v>
      </c>
      <c r="R191" s="9">
        <v>559</v>
      </c>
      <c r="S191" s="9" t="s">
        <v>160</v>
      </c>
      <c r="T191" s="9" t="s">
        <v>158</v>
      </c>
      <c r="U191" s="9" t="b">
        <v>1</v>
      </c>
    </row>
    <row r="192" spans="1:21" x14ac:dyDescent="0.25">
      <c r="A192" s="9">
        <v>5480</v>
      </c>
      <c r="B192" s="9" t="s">
        <v>71</v>
      </c>
      <c r="C192" s="9" t="s">
        <v>49</v>
      </c>
      <c r="D192" s="9" t="s">
        <v>102</v>
      </c>
      <c r="E192" s="9">
        <v>2016</v>
      </c>
      <c r="F192" s="9">
        <v>2017</v>
      </c>
      <c r="G192" s="9">
        <v>1</v>
      </c>
      <c r="H192" s="9">
        <v>62108.21</v>
      </c>
      <c r="I192" s="9">
        <v>37234.269999999997</v>
      </c>
      <c r="J192" s="9"/>
      <c r="K192" s="9">
        <v>6028.1</v>
      </c>
      <c r="L192" s="9">
        <v>517.24</v>
      </c>
      <c r="M192" s="9">
        <v>99859.72</v>
      </c>
      <c r="N192" s="9">
        <v>62.2</v>
      </c>
      <c r="O192" s="9">
        <v>63076.71</v>
      </c>
      <c r="P192" s="9" t="s">
        <v>99</v>
      </c>
      <c r="Q192" s="9">
        <v>0.82</v>
      </c>
      <c r="R192" s="9">
        <v>517.24</v>
      </c>
      <c r="S192" s="9" t="s">
        <v>89</v>
      </c>
      <c r="T192" s="9" t="s">
        <v>157</v>
      </c>
      <c r="U192" s="9" t="b">
        <v>0</v>
      </c>
    </row>
    <row r="193" spans="1:21" x14ac:dyDescent="0.25">
      <c r="A193" s="9">
        <v>5480</v>
      </c>
      <c r="B193" s="9" t="s">
        <v>71</v>
      </c>
      <c r="C193" s="9" t="s">
        <v>49</v>
      </c>
      <c r="D193" s="9" t="s">
        <v>103</v>
      </c>
      <c r="E193" s="9">
        <v>2017</v>
      </c>
      <c r="F193" s="9">
        <v>2018</v>
      </c>
      <c r="G193" s="9">
        <v>1</v>
      </c>
      <c r="H193" s="9">
        <v>65656.25</v>
      </c>
      <c r="I193" s="9">
        <v>38822.639999999999</v>
      </c>
      <c r="J193" s="9">
        <v>0.38</v>
      </c>
      <c r="K193" s="9">
        <v>1272.3800000000001</v>
      </c>
      <c r="L193" s="9">
        <v>136.6</v>
      </c>
      <c r="M193" s="9">
        <v>104615.87</v>
      </c>
      <c r="N193" s="9">
        <v>62.76</v>
      </c>
      <c r="O193" s="9">
        <v>62108.21</v>
      </c>
      <c r="P193" s="9" t="s">
        <v>102</v>
      </c>
      <c r="Q193" s="9">
        <v>0.21990000000000001</v>
      </c>
      <c r="R193" s="9">
        <v>136.22</v>
      </c>
      <c r="S193" s="9" t="s">
        <v>89</v>
      </c>
      <c r="T193" s="9" t="s">
        <v>157</v>
      </c>
      <c r="U193" s="9" t="b">
        <v>0</v>
      </c>
    </row>
    <row r="194" spans="1:21" x14ac:dyDescent="0.25">
      <c r="A194" s="9">
        <v>5480</v>
      </c>
      <c r="B194" s="9" t="s">
        <v>71</v>
      </c>
      <c r="C194" s="9" t="s">
        <v>49</v>
      </c>
      <c r="D194" s="9" t="s">
        <v>104</v>
      </c>
      <c r="E194" s="9">
        <v>2018</v>
      </c>
      <c r="F194" s="9">
        <v>2019</v>
      </c>
      <c r="G194" s="9">
        <v>1</v>
      </c>
      <c r="H194" s="9"/>
      <c r="I194" s="9"/>
      <c r="J194" s="9"/>
      <c r="K194" s="9"/>
      <c r="L194" s="9">
        <v>181.07</v>
      </c>
      <c r="M194" s="9"/>
      <c r="N194" s="9"/>
      <c r="O194" s="9">
        <v>65656.25</v>
      </c>
      <c r="P194" s="9" t="s">
        <v>103</v>
      </c>
      <c r="Q194" s="9">
        <v>0.27579999999999999</v>
      </c>
      <c r="R194" s="9">
        <v>181.07</v>
      </c>
      <c r="S194" s="9" t="s">
        <v>105</v>
      </c>
      <c r="T194" s="9" t="s">
        <v>158</v>
      </c>
      <c r="U194" s="9" t="b">
        <v>1</v>
      </c>
    </row>
    <row r="195" spans="1:21" x14ac:dyDescent="0.25">
      <c r="A195" s="9">
        <v>5480</v>
      </c>
      <c r="B195" s="9" t="s">
        <v>71</v>
      </c>
      <c r="C195" s="9" t="s">
        <v>49</v>
      </c>
      <c r="D195" s="9" t="s">
        <v>106</v>
      </c>
      <c r="E195" s="9">
        <v>2019</v>
      </c>
      <c r="F195" s="9">
        <v>2020</v>
      </c>
      <c r="G195" s="9">
        <v>1</v>
      </c>
      <c r="H195" s="9">
        <v>65934.7</v>
      </c>
      <c r="I195" s="9">
        <v>39567.08</v>
      </c>
      <c r="J195" s="9"/>
      <c r="K195" s="9">
        <v>162.28</v>
      </c>
      <c r="L195" s="9">
        <v>225.55</v>
      </c>
      <c r="M195" s="9">
        <v>105727.33</v>
      </c>
      <c r="N195" s="9">
        <v>62.36</v>
      </c>
      <c r="O195" s="9">
        <v>65656.25</v>
      </c>
      <c r="P195" s="9" t="s">
        <v>103</v>
      </c>
      <c r="Q195" s="9">
        <v>0.34350000000000003</v>
      </c>
      <c r="R195" s="9">
        <v>225.55</v>
      </c>
      <c r="S195" s="9" t="s">
        <v>89</v>
      </c>
      <c r="T195" s="9" t="s">
        <v>157</v>
      </c>
      <c r="U195" s="9" t="b">
        <v>0</v>
      </c>
    </row>
    <row r="196" spans="1:21" x14ac:dyDescent="0.25">
      <c r="A196" s="9">
        <v>5480</v>
      </c>
      <c r="B196" s="9" t="s">
        <v>71</v>
      </c>
      <c r="C196" s="9" t="s">
        <v>49</v>
      </c>
      <c r="D196" s="9" t="s">
        <v>107</v>
      </c>
      <c r="E196" s="9">
        <v>2020</v>
      </c>
      <c r="F196" s="9">
        <v>2021</v>
      </c>
      <c r="G196" s="9">
        <v>1</v>
      </c>
      <c r="H196" s="9">
        <v>65768.36</v>
      </c>
      <c r="I196" s="9">
        <v>39797.129999999997</v>
      </c>
      <c r="J196" s="9"/>
      <c r="K196" s="9">
        <v>201.69</v>
      </c>
      <c r="L196" s="9">
        <v>122.33</v>
      </c>
      <c r="M196" s="9">
        <v>105687.82</v>
      </c>
      <c r="N196" s="9">
        <v>62.23</v>
      </c>
      <c r="O196" s="9">
        <v>65934.7</v>
      </c>
      <c r="P196" s="9" t="s">
        <v>106</v>
      </c>
      <c r="Q196" s="9">
        <v>0.1855</v>
      </c>
      <c r="R196" s="9">
        <v>122.33</v>
      </c>
      <c r="S196" s="9" t="s">
        <v>89</v>
      </c>
      <c r="T196" s="9" t="s">
        <v>157</v>
      </c>
      <c r="U196" s="9" t="b">
        <v>0</v>
      </c>
    </row>
    <row r="197" spans="1:21" x14ac:dyDescent="0.25">
      <c r="A197" s="9">
        <v>5480</v>
      </c>
      <c r="B197" s="9" t="s">
        <v>71</v>
      </c>
      <c r="C197" s="9" t="s">
        <v>49</v>
      </c>
      <c r="D197" s="9" t="s">
        <v>108</v>
      </c>
      <c r="E197" s="9">
        <v>2021</v>
      </c>
      <c r="F197" s="9">
        <v>2022</v>
      </c>
      <c r="G197" s="9">
        <v>1</v>
      </c>
      <c r="H197" s="9">
        <v>65298.18</v>
      </c>
      <c r="I197" s="9">
        <v>39995.57</v>
      </c>
      <c r="J197" s="9"/>
      <c r="K197" s="9">
        <v>316.01</v>
      </c>
      <c r="L197" s="9">
        <v>277.89999999999998</v>
      </c>
      <c r="M197" s="9">
        <v>105571.65</v>
      </c>
      <c r="N197" s="9">
        <v>61.85</v>
      </c>
      <c r="O197" s="9">
        <v>65768.36</v>
      </c>
      <c r="P197" s="9" t="s">
        <v>107</v>
      </c>
      <c r="Q197" s="9">
        <v>0.42249999999999999</v>
      </c>
      <c r="R197" s="9">
        <v>277.89999999999998</v>
      </c>
      <c r="S197" s="9" t="s">
        <v>89</v>
      </c>
      <c r="T197" s="9" t="s">
        <v>157</v>
      </c>
      <c r="U197" s="9" t="b">
        <v>0</v>
      </c>
    </row>
    <row r="198" spans="1:21" x14ac:dyDescent="0.25">
      <c r="A198" s="9">
        <v>5480</v>
      </c>
      <c r="B198" s="9" t="s">
        <v>71</v>
      </c>
      <c r="C198" s="9" t="s">
        <v>49</v>
      </c>
      <c r="D198" s="9" t="s">
        <v>109</v>
      </c>
      <c r="E198" s="9">
        <v>2022</v>
      </c>
      <c r="F198" s="9">
        <v>2023</v>
      </c>
      <c r="G198" s="9">
        <v>1</v>
      </c>
      <c r="H198" s="9">
        <v>65512.56</v>
      </c>
      <c r="I198" s="9">
        <v>40292.120000000003</v>
      </c>
      <c r="J198" s="9"/>
      <c r="K198" s="9"/>
      <c r="L198" s="9">
        <v>83.92</v>
      </c>
      <c r="M198" s="9">
        <v>105888.61</v>
      </c>
      <c r="N198" s="9">
        <v>61.87</v>
      </c>
      <c r="O198" s="9">
        <v>65298.18</v>
      </c>
      <c r="P198" s="9" t="s">
        <v>108</v>
      </c>
      <c r="Q198" s="9">
        <v>0.1285</v>
      </c>
      <c r="R198" s="9">
        <v>83.92</v>
      </c>
      <c r="S198" s="9" t="s">
        <v>89</v>
      </c>
      <c r="T198" s="9" t="s">
        <v>157</v>
      </c>
      <c r="U198" s="9" t="b">
        <v>0</v>
      </c>
    </row>
    <row r="199" spans="1:21" x14ac:dyDescent="0.25">
      <c r="A199" s="9">
        <v>5480</v>
      </c>
      <c r="B199" s="9" t="s">
        <v>71</v>
      </c>
      <c r="C199" s="9" t="s">
        <v>49</v>
      </c>
      <c r="D199" s="9" t="s">
        <v>110</v>
      </c>
      <c r="E199" s="9">
        <v>2023</v>
      </c>
      <c r="F199" s="9">
        <v>2024</v>
      </c>
      <c r="G199" s="9">
        <v>1</v>
      </c>
      <c r="H199" s="9"/>
      <c r="I199" s="9"/>
      <c r="J199" s="9"/>
      <c r="K199" s="9"/>
      <c r="L199" s="9">
        <v>122.98</v>
      </c>
      <c r="M199" s="9"/>
      <c r="N199" s="9"/>
      <c r="O199" s="9">
        <v>65512.56</v>
      </c>
      <c r="P199" s="9" t="s">
        <v>109</v>
      </c>
      <c r="Q199" s="9">
        <v>0.18770000000000001</v>
      </c>
      <c r="R199" s="9">
        <v>122.98</v>
      </c>
      <c r="S199" s="9" t="s">
        <v>105</v>
      </c>
      <c r="T199" s="9" t="s">
        <v>158</v>
      </c>
      <c r="U199" s="9" t="b">
        <v>1</v>
      </c>
    </row>
    <row r="200" spans="1:21" x14ac:dyDescent="0.25">
      <c r="A200" s="9">
        <v>5490</v>
      </c>
      <c r="B200" s="9" t="s">
        <v>73</v>
      </c>
      <c r="C200" s="9" t="s">
        <v>53</v>
      </c>
      <c r="D200" s="9" t="s">
        <v>41</v>
      </c>
      <c r="E200" s="9">
        <v>2000</v>
      </c>
      <c r="F200" s="9">
        <v>2002</v>
      </c>
      <c r="G200" s="9">
        <v>2</v>
      </c>
      <c r="H200" s="9">
        <v>22055.72</v>
      </c>
      <c r="I200" s="9">
        <v>103110.2</v>
      </c>
      <c r="J200" s="9"/>
      <c r="K200" s="9">
        <v>4.58</v>
      </c>
      <c r="L200" s="9">
        <v>142.44999999999999</v>
      </c>
      <c r="M200" s="9">
        <v>125308.38</v>
      </c>
      <c r="N200" s="9">
        <v>17.600000000000001</v>
      </c>
      <c r="O200" s="9"/>
      <c r="P200" s="9"/>
      <c r="Q200" s="9"/>
      <c r="R200" s="9">
        <v>142.44999999999999</v>
      </c>
      <c r="S200" s="9" t="s">
        <v>43</v>
      </c>
      <c r="T200" s="9" t="s">
        <v>156</v>
      </c>
      <c r="U200" s="9" t="b">
        <v>0</v>
      </c>
    </row>
    <row r="201" spans="1:21" x14ac:dyDescent="0.25">
      <c r="A201" s="9">
        <v>5490</v>
      </c>
      <c r="B201" s="9" t="s">
        <v>73</v>
      </c>
      <c r="C201" s="9" t="s">
        <v>53</v>
      </c>
      <c r="D201" s="9" t="s">
        <v>88</v>
      </c>
      <c r="E201" s="9">
        <v>2002</v>
      </c>
      <c r="F201" s="9">
        <v>2004</v>
      </c>
      <c r="G201" s="9">
        <v>2</v>
      </c>
      <c r="H201" s="9">
        <v>20885.400000000001</v>
      </c>
      <c r="I201" s="9">
        <v>103354.59</v>
      </c>
      <c r="J201" s="9"/>
      <c r="K201" s="9">
        <v>312.85000000000002</v>
      </c>
      <c r="L201" s="9">
        <v>458.75</v>
      </c>
      <c r="M201" s="9">
        <v>124698.74</v>
      </c>
      <c r="N201" s="9">
        <v>16.75</v>
      </c>
      <c r="O201" s="9">
        <v>22055.72</v>
      </c>
      <c r="P201" s="9" t="s">
        <v>41</v>
      </c>
      <c r="Q201" s="9">
        <v>1.04</v>
      </c>
      <c r="R201" s="9">
        <v>458.75</v>
      </c>
      <c r="S201" s="9" t="s">
        <v>89</v>
      </c>
      <c r="T201" s="9" t="s">
        <v>157</v>
      </c>
      <c r="U201" s="9" t="b">
        <v>0</v>
      </c>
    </row>
    <row r="202" spans="1:21" x14ac:dyDescent="0.25">
      <c r="A202" s="9">
        <v>5490</v>
      </c>
      <c r="B202" s="9" t="s">
        <v>73</v>
      </c>
      <c r="C202" s="9" t="s">
        <v>53</v>
      </c>
      <c r="D202" s="9" t="s">
        <v>90</v>
      </c>
      <c r="E202" s="9">
        <v>2004</v>
      </c>
      <c r="F202" s="9">
        <v>2006</v>
      </c>
      <c r="G202" s="9">
        <v>2</v>
      </c>
      <c r="H202" s="9">
        <v>20228.91</v>
      </c>
      <c r="I202" s="9">
        <v>104246.12</v>
      </c>
      <c r="J202" s="9">
        <v>18.68</v>
      </c>
      <c r="K202" s="9">
        <v>13.41</v>
      </c>
      <c r="L202" s="9">
        <v>504.34</v>
      </c>
      <c r="M202" s="9">
        <v>124998.05</v>
      </c>
      <c r="N202" s="9">
        <v>16.18</v>
      </c>
      <c r="O202" s="9">
        <v>20885.400000000001</v>
      </c>
      <c r="P202" s="9" t="s">
        <v>88</v>
      </c>
      <c r="Q202" s="9">
        <v>1.2074</v>
      </c>
      <c r="R202" s="9">
        <v>485.66</v>
      </c>
      <c r="S202" s="9" t="s">
        <v>89</v>
      </c>
      <c r="T202" s="9" t="s">
        <v>157</v>
      </c>
      <c r="U202" s="9" t="b">
        <v>0</v>
      </c>
    </row>
    <row r="203" spans="1:21" x14ac:dyDescent="0.25">
      <c r="A203" s="9">
        <v>5490</v>
      </c>
      <c r="B203" s="9" t="s">
        <v>73</v>
      </c>
      <c r="C203" s="9" t="s">
        <v>53</v>
      </c>
      <c r="D203" s="9" t="s">
        <v>91</v>
      </c>
      <c r="E203" s="9">
        <v>2006</v>
      </c>
      <c r="F203" s="9">
        <v>2008</v>
      </c>
      <c r="G203" s="9">
        <v>2</v>
      </c>
      <c r="H203" s="9">
        <v>19409.150000000001</v>
      </c>
      <c r="I203" s="9">
        <v>105203.69</v>
      </c>
      <c r="J203" s="9"/>
      <c r="K203" s="9">
        <v>1.36</v>
      </c>
      <c r="L203" s="9">
        <v>397.39</v>
      </c>
      <c r="M203" s="9">
        <v>125010.23</v>
      </c>
      <c r="N203" s="9">
        <v>15.53</v>
      </c>
      <c r="O203" s="9">
        <v>20228.91</v>
      </c>
      <c r="P203" s="9" t="s">
        <v>90</v>
      </c>
      <c r="Q203" s="9">
        <v>0.98219999999999996</v>
      </c>
      <c r="R203" s="9">
        <v>397.39</v>
      </c>
      <c r="S203" s="9" t="s">
        <v>89</v>
      </c>
      <c r="T203" s="9" t="s">
        <v>157</v>
      </c>
      <c r="U203" s="9" t="b">
        <v>0</v>
      </c>
    </row>
    <row r="204" spans="1:21" x14ac:dyDescent="0.25">
      <c r="A204" s="9">
        <v>5490</v>
      </c>
      <c r="B204" s="9" t="s">
        <v>73</v>
      </c>
      <c r="C204" s="9" t="s">
        <v>53</v>
      </c>
      <c r="D204" s="9" t="s">
        <v>92</v>
      </c>
      <c r="E204" s="9">
        <v>2008</v>
      </c>
      <c r="F204" s="9">
        <v>2010</v>
      </c>
      <c r="G204" s="9">
        <v>2</v>
      </c>
      <c r="H204" s="9">
        <v>18852.71</v>
      </c>
      <c r="I204" s="9">
        <v>105795.64</v>
      </c>
      <c r="J204" s="9"/>
      <c r="K204" s="9">
        <v>132.09</v>
      </c>
      <c r="L204" s="9">
        <v>231.62</v>
      </c>
      <c r="M204" s="9">
        <v>124879.97</v>
      </c>
      <c r="N204" s="9">
        <v>15.1</v>
      </c>
      <c r="O204" s="9">
        <v>19409.150000000001</v>
      </c>
      <c r="P204" s="9" t="s">
        <v>91</v>
      </c>
      <c r="Q204" s="9">
        <v>0.59670000000000001</v>
      </c>
      <c r="R204" s="9">
        <v>231.62</v>
      </c>
      <c r="S204" s="9" t="s">
        <v>89</v>
      </c>
      <c r="T204" s="9" t="s">
        <v>157</v>
      </c>
      <c r="U204" s="9" t="b">
        <v>0</v>
      </c>
    </row>
    <row r="205" spans="1:21" x14ac:dyDescent="0.25">
      <c r="A205" s="9">
        <v>5490</v>
      </c>
      <c r="B205" s="9" t="s">
        <v>73</v>
      </c>
      <c r="C205" s="9" t="s">
        <v>53</v>
      </c>
      <c r="D205" s="9" t="s">
        <v>93</v>
      </c>
      <c r="E205" s="9">
        <v>2010</v>
      </c>
      <c r="F205" s="9">
        <v>2012</v>
      </c>
      <c r="G205" s="9">
        <v>2</v>
      </c>
      <c r="H205" s="9"/>
      <c r="I205" s="9"/>
      <c r="J205" s="9"/>
      <c r="K205" s="9"/>
      <c r="L205" s="9">
        <v>154.66</v>
      </c>
      <c r="M205" s="9"/>
      <c r="N205" s="9"/>
      <c r="O205" s="9">
        <v>18852.71</v>
      </c>
      <c r="P205" s="9" t="s">
        <v>92</v>
      </c>
      <c r="Q205" s="9">
        <v>0.41020000000000001</v>
      </c>
      <c r="R205" s="9">
        <v>154.66</v>
      </c>
      <c r="S205" s="9" t="s">
        <v>94</v>
      </c>
      <c r="T205" s="9" t="s">
        <v>158</v>
      </c>
      <c r="U205" s="9" t="b">
        <v>1</v>
      </c>
    </row>
    <row r="206" spans="1:21" x14ac:dyDescent="0.25">
      <c r="A206" s="9">
        <v>5490</v>
      </c>
      <c r="B206" s="9" t="s">
        <v>73</v>
      </c>
      <c r="C206" s="9" t="s">
        <v>53</v>
      </c>
      <c r="D206" s="9" t="s">
        <v>96</v>
      </c>
      <c r="E206" s="9">
        <v>2012</v>
      </c>
      <c r="F206" s="9">
        <v>2013</v>
      </c>
      <c r="G206" s="9">
        <v>1</v>
      </c>
      <c r="H206" s="9">
        <v>14974.09</v>
      </c>
      <c r="I206" s="9">
        <v>109515.83</v>
      </c>
      <c r="J206" s="9"/>
      <c r="K206" s="9">
        <v>709.91</v>
      </c>
      <c r="L206" s="9">
        <v>68.599999999999994</v>
      </c>
      <c r="M206" s="9">
        <v>124558.52</v>
      </c>
      <c r="N206" s="9">
        <v>12.02</v>
      </c>
      <c r="O206" s="9">
        <v>18852.71</v>
      </c>
      <c r="P206" s="9" t="s">
        <v>92</v>
      </c>
      <c r="Q206" s="9">
        <v>0.3639</v>
      </c>
      <c r="R206" s="9">
        <v>68.599999999999994</v>
      </c>
      <c r="S206" s="9" t="s">
        <v>97</v>
      </c>
      <c r="T206" s="9" t="s">
        <v>159</v>
      </c>
      <c r="U206" s="9" t="b">
        <v>0</v>
      </c>
    </row>
    <row r="207" spans="1:21" x14ac:dyDescent="0.25">
      <c r="A207" s="9">
        <v>5490</v>
      </c>
      <c r="B207" s="9" t="s">
        <v>73</v>
      </c>
      <c r="C207" s="9" t="s">
        <v>53</v>
      </c>
      <c r="D207" s="9" t="s">
        <v>98</v>
      </c>
      <c r="E207" s="9">
        <v>2013</v>
      </c>
      <c r="F207" s="9">
        <v>2014</v>
      </c>
      <c r="G207" s="9">
        <v>1</v>
      </c>
      <c r="H207" s="9">
        <v>14801.14</v>
      </c>
      <c r="I207" s="9">
        <v>110230.92</v>
      </c>
      <c r="J207" s="9"/>
      <c r="K207" s="9">
        <v>108.83</v>
      </c>
      <c r="L207" s="9">
        <v>118.71</v>
      </c>
      <c r="M207" s="9">
        <v>125150.77</v>
      </c>
      <c r="N207" s="9">
        <v>11.83</v>
      </c>
      <c r="O207" s="9">
        <v>14974.09</v>
      </c>
      <c r="P207" s="9" t="s">
        <v>96</v>
      </c>
      <c r="Q207" s="9">
        <v>0.79279999999999995</v>
      </c>
      <c r="R207" s="9">
        <v>118.71</v>
      </c>
      <c r="S207" s="9" t="s">
        <v>89</v>
      </c>
      <c r="T207" s="9" t="s">
        <v>157</v>
      </c>
      <c r="U207" s="9" t="b">
        <v>0</v>
      </c>
    </row>
    <row r="208" spans="1:21" x14ac:dyDescent="0.25">
      <c r="A208" s="9">
        <v>5490</v>
      </c>
      <c r="B208" s="9" t="s">
        <v>73</v>
      </c>
      <c r="C208" s="9" t="s">
        <v>53</v>
      </c>
      <c r="D208" s="9" t="s">
        <v>99</v>
      </c>
      <c r="E208" s="9">
        <v>2014</v>
      </c>
      <c r="F208" s="9">
        <v>2015</v>
      </c>
      <c r="G208" s="9">
        <v>1</v>
      </c>
      <c r="H208" s="9">
        <v>14899.98</v>
      </c>
      <c r="I208" s="9">
        <v>110066.44</v>
      </c>
      <c r="J208" s="9">
        <v>7.47</v>
      </c>
      <c r="K208" s="9">
        <v>25.21</v>
      </c>
      <c r="L208" s="9">
        <v>6.55</v>
      </c>
      <c r="M208" s="9">
        <v>124980.44</v>
      </c>
      <c r="N208" s="9">
        <v>11.92</v>
      </c>
      <c r="O208" s="9">
        <v>14801.14</v>
      </c>
      <c r="P208" s="9" t="s">
        <v>98</v>
      </c>
      <c r="Q208" s="9">
        <v>4.4200000000000003E-2</v>
      </c>
      <c r="R208" s="9">
        <v>-0.93</v>
      </c>
      <c r="S208" s="9" t="s">
        <v>43</v>
      </c>
      <c r="T208" s="9" t="s">
        <v>156</v>
      </c>
      <c r="U208" s="9" t="b">
        <v>0</v>
      </c>
    </row>
    <row r="209" spans="1:21" x14ac:dyDescent="0.25">
      <c r="A209" s="9">
        <v>5490</v>
      </c>
      <c r="B209" s="9" t="s">
        <v>73</v>
      </c>
      <c r="C209" s="9" t="s">
        <v>53</v>
      </c>
      <c r="D209" s="9" t="s">
        <v>100</v>
      </c>
      <c r="E209" s="9">
        <v>2015</v>
      </c>
      <c r="F209" s="9">
        <v>2016</v>
      </c>
      <c r="G209" s="9">
        <v>1</v>
      </c>
      <c r="H209" s="9"/>
      <c r="I209" s="9"/>
      <c r="J209" s="9"/>
      <c r="K209" s="9"/>
      <c r="L209" s="9">
        <v>110.11</v>
      </c>
      <c r="M209" s="9"/>
      <c r="N209" s="9"/>
      <c r="O209" s="9">
        <v>14899.98</v>
      </c>
      <c r="P209" s="9" t="s">
        <v>99</v>
      </c>
      <c r="Q209" s="9">
        <v>0.73899999999999999</v>
      </c>
      <c r="R209" s="9">
        <v>110.11</v>
      </c>
      <c r="S209" s="9" t="s">
        <v>160</v>
      </c>
      <c r="T209" s="9" t="s">
        <v>158</v>
      </c>
      <c r="U209" s="9" t="b">
        <v>1</v>
      </c>
    </row>
    <row r="210" spans="1:21" x14ac:dyDescent="0.25">
      <c r="A210" s="9">
        <v>5490</v>
      </c>
      <c r="B210" s="9" t="s">
        <v>73</v>
      </c>
      <c r="C210" s="9" t="s">
        <v>53</v>
      </c>
      <c r="D210" s="9" t="s">
        <v>102</v>
      </c>
      <c r="E210" s="9">
        <v>2016</v>
      </c>
      <c r="F210" s="9">
        <v>2017</v>
      </c>
      <c r="G210" s="9">
        <v>1</v>
      </c>
      <c r="H210" s="9">
        <v>14241.75</v>
      </c>
      <c r="I210" s="9">
        <v>110720.65</v>
      </c>
      <c r="J210" s="9">
        <v>19.66</v>
      </c>
      <c r="K210" s="9">
        <v>0.06</v>
      </c>
      <c r="L210" s="9">
        <v>32.229999999999997</v>
      </c>
      <c r="M210" s="9">
        <v>125014.29</v>
      </c>
      <c r="N210" s="9">
        <v>11.39</v>
      </c>
      <c r="O210" s="9">
        <v>14899.98</v>
      </c>
      <c r="P210" s="9" t="s">
        <v>99</v>
      </c>
      <c r="Q210" s="9">
        <v>0.21629999999999999</v>
      </c>
      <c r="R210" s="9">
        <v>12.57</v>
      </c>
      <c r="S210" s="9" t="s">
        <v>89</v>
      </c>
      <c r="T210" s="9" t="s">
        <v>157</v>
      </c>
      <c r="U210" s="9" t="b">
        <v>0</v>
      </c>
    </row>
    <row r="211" spans="1:21" x14ac:dyDescent="0.25">
      <c r="A211" s="9">
        <v>5490</v>
      </c>
      <c r="B211" s="9" t="s">
        <v>73</v>
      </c>
      <c r="C211" s="9" t="s">
        <v>53</v>
      </c>
      <c r="D211" s="9" t="s">
        <v>103</v>
      </c>
      <c r="E211" s="9">
        <v>2017</v>
      </c>
      <c r="F211" s="9">
        <v>2018</v>
      </c>
      <c r="G211" s="9">
        <v>1</v>
      </c>
      <c r="H211" s="9">
        <v>17437.919999999998</v>
      </c>
      <c r="I211" s="9">
        <v>107530.98</v>
      </c>
      <c r="J211" s="9">
        <v>1.22</v>
      </c>
      <c r="K211" s="9">
        <v>37.200000000000003</v>
      </c>
      <c r="L211" s="9">
        <v>6.16</v>
      </c>
      <c r="M211" s="9">
        <v>124976.27</v>
      </c>
      <c r="N211" s="9">
        <v>13.95</v>
      </c>
      <c r="O211" s="9">
        <v>14241.75</v>
      </c>
      <c r="P211" s="9" t="s">
        <v>102</v>
      </c>
      <c r="Q211" s="9">
        <v>4.3200000000000002E-2</v>
      </c>
      <c r="R211" s="9">
        <v>4.9400000000000004</v>
      </c>
      <c r="S211" s="9" t="s">
        <v>89</v>
      </c>
      <c r="T211" s="9" t="s">
        <v>157</v>
      </c>
      <c r="U211" s="9" t="b">
        <v>0</v>
      </c>
    </row>
    <row r="212" spans="1:21" x14ac:dyDescent="0.25">
      <c r="A212" s="9">
        <v>5490</v>
      </c>
      <c r="B212" s="9" t="s">
        <v>73</v>
      </c>
      <c r="C212" s="9" t="s">
        <v>53</v>
      </c>
      <c r="D212" s="9" t="s">
        <v>104</v>
      </c>
      <c r="E212" s="9">
        <v>2018</v>
      </c>
      <c r="F212" s="9">
        <v>2019</v>
      </c>
      <c r="G212" s="9">
        <v>1</v>
      </c>
      <c r="H212" s="9"/>
      <c r="I212" s="9"/>
      <c r="J212" s="9"/>
      <c r="K212" s="9"/>
      <c r="L212" s="9">
        <v>19.12</v>
      </c>
      <c r="M212" s="9"/>
      <c r="N212" s="9"/>
      <c r="O212" s="9">
        <v>17437.919999999998</v>
      </c>
      <c r="P212" s="9" t="s">
        <v>103</v>
      </c>
      <c r="Q212" s="9">
        <v>0.1096</v>
      </c>
      <c r="R212" s="9">
        <v>19.12</v>
      </c>
      <c r="S212" s="9" t="s">
        <v>105</v>
      </c>
      <c r="T212" s="9" t="s">
        <v>158</v>
      </c>
      <c r="U212" s="9" t="b">
        <v>1</v>
      </c>
    </row>
    <row r="213" spans="1:21" x14ac:dyDescent="0.25">
      <c r="A213" s="9">
        <v>5490</v>
      </c>
      <c r="B213" s="9" t="s">
        <v>73</v>
      </c>
      <c r="C213" s="9" t="s">
        <v>53</v>
      </c>
      <c r="D213" s="9" t="s">
        <v>106</v>
      </c>
      <c r="E213" s="9">
        <v>2019</v>
      </c>
      <c r="F213" s="9">
        <v>2020</v>
      </c>
      <c r="G213" s="9">
        <v>1</v>
      </c>
      <c r="H213" s="9">
        <v>17262.009999999998</v>
      </c>
      <c r="I213" s="9">
        <v>107712.91</v>
      </c>
      <c r="J213" s="9"/>
      <c r="K213" s="9">
        <v>6.45</v>
      </c>
      <c r="L213" s="9">
        <v>32.090000000000003</v>
      </c>
      <c r="M213" s="9">
        <v>125007.01</v>
      </c>
      <c r="N213" s="9">
        <v>13.81</v>
      </c>
      <c r="O213" s="9">
        <v>17437.919999999998</v>
      </c>
      <c r="P213" s="9" t="s">
        <v>103</v>
      </c>
      <c r="Q213" s="9">
        <v>0.184</v>
      </c>
      <c r="R213" s="9">
        <v>32.090000000000003</v>
      </c>
      <c r="S213" s="9" t="s">
        <v>89</v>
      </c>
      <c r="T213" s="9" t="s">
        <v>157</v>
      </c>
      <c r="U213" s="9" t="b">
        <v>0</v>
      </c>
    </row>
    <row r="214" spans="1:21" x14ac:dyDescent="0.25">
      <c r="A214" s="9">
        <v>5490</v>
      </c>
      <c r="B214" s="9" t="s">
        <v>73</v>
      </c>
      <c r="C214" s="9" t="s">
        <v>53</v>
      </c>
      <c r="D214" s="9" t="s">
        <v>107</v>
      </c>
      <c r="E214" s="9">
        <v>2020</v>
      </c>
      <c r="F214" s="9">
        <v>2021</v>
      </c>
      <c r="G214" s="9">
        <v>1</v>
      </c>
      <c r="H214" s="9">
        <v>17238.330000000002</v>
      </c>
      <c r="I214" s="9">
        <v>107750</v>
      </c>
      <c r="J214" s="9"/>
      <c r="K214" s="9">
        <v>0.21</v>
      </c>
      <c r="L214" s="9">
        <v>24.91</v>
      </c>
      <c r="M214" s="9">
        <v>125013.25</v>
      </c>
      <c r="N214" s="9">
        <v>13.79</v>
      </c>
      <c r="O214" s="9">
        <v>17262.009999999998</v>
      </c>
      <c r="P214" s="9" t="s">
        <v>106</v>
      </c>
      <c r="Q214" s="9">
        <v>0.14430000000000001</v>
      </c>
      <c r="R214" s="9">
        <v>24.91</v>
      </c>
      <c r="S214" s="9" t="s">
        <v>89</v>
      </c>
      <c r="T214" s="9" t="s">
        <v>157</v>
      </c>
      <c r="U214" s="9" t="b">
        <v>0</v>
      </c>
    </row>
    <row r="215" spans="1:21" x14ac:dyDescent="0.25">
      <c r="A215" s="9">
        <v>5490</v>
      </c>
      <c r="B215" s="9" t="s">
        <v>73</v>
      </c>
      <c r="C215" s="9" t="s">
        <v>53</v>
      </c>
      <c r="D215" s="9" t="s">
        <v>108</v>
      </c>
      <c r="E215" s="9">
        <v>2021</v>
      </c>
      <c r="F215" s="9">
        <v>2022</v>
      </c>
      <c r="G215" s="9">
        <v>1</v>
      </c>
      <c r="H215" s="9">
        <v>17191.66</v>
      </c>
      <c r="I215" s="9">
        <v>107791.58</v>
      </c>
      <c r="J215" s="9"/>
      <c r="K215" s="9">
        <v>6.58</v>
      </c>
      <c r="L215" s="9">
        <v>23.93</v>
      </c>
      <c r="M215" s="9">
        <v>125007.18</v>
      </c>
      <c r="N215" s="9">
        <v>13.75</v>
      </c>
      <c r="O215" s="9">
        <v>17238.330000000002</v>
      </c>
      <c r="P215" s="9" t="s">
        <v>107</v>
      </c>
      <c r="Q215" s="9">
        <v>0.13880000000000001</v>
      </c>
      <c r="R215" s="9">
        <v>23.93</v>
      </c>
      <c r="S215" s="9" t="s">
        <v>89</v>
      </c>
      <c r="T215" s="9" t="s">
        <v>157</v>
      </c>
      <c r="U215" s="9" t="b">
        <v>0</v>
      </c>
    </row>
    <row r="216" spans="1:21" x14ac:dyDescent="0.25">
      <c r="A216" s="9">
        <v>5490</v>
      </c>
      <c r="B216" s="9" t="s">
        <v>73</v>
      </c>
      <c r="C216" s="9" t="s">
        <v>53</v>
      </c>
      <c r="D216" s="9" t="s">
        <v>109</v>
      </c>
      <c r="E216" s="9">
        <v>2022</v>
      </c>
      <c r="F216" s="9">
        <v>2023</v>
      </c>
      <c r="G216" s="9">
        <v>1</v>
      </c>
      <c r="H216" s="9">
        <v>16807.02</v>
      </c>
      <c r="I216" s="9">
        <v>108170.92</v>
      </c>
      <c r="J216" s="9"/>
      <c r="K216" s="9">
        <v>0.9</v>
      </c>
      <c r="L216" s="9">
        <v>34.68</v>
      </c>
      <c r="M216" s="9">
        <v>125012.61</v>
      </c>
      <c r="N216" s="9">
        <v>13.44</v>
      </c>
      <c r="O216" s="9">
        <v>17191.66</v>
      </c>
      <c r="P216" s="9" t="s">
        <v>108</v>
      </c>
      <c r="Q216" s="9">
        <v>0.20169999999999999</v>
      </c>
      <c r="R216" s="9">
        <v>34.68</v>
      </c>
      <c r="S216" s="9" t="s">
        <v>89</v>
      </c>
      <c r="T216" s="9" t="s">
        <v>157</v>
      </c>
      <c r="U216" s="9" t="b">
        <v>0</v>
      </c>
    </row>
    <row r="217" spans="1:21" x14ac:dyDescent="0.25">
      <c r="A217" s="9">
        <v>5490</v>
      </c>
      <c r="B217" s="9" t="s">
        <v>73</v>
      </c>
      <c r="C217" s="9" t="s">
        <v>53</v>
      </c>
      <c r="D217" s="9" t="s">
        <v>110</v>
      </c>
      <c r="E217" s="9">
        <v>2023</v>
      </c>
      <c r="F217" s="9">
        <v>2024</v>
      </c>
      <c r="G217" s="9">
        <v>1</v>
      </c>
      <c r="H217" s="9"/>
      <c r="I217" s="9"/>
      <c r="J217" s="9"/>
      <c r="K217" s="9"/>
      <c r="L217" s="9">
        <v>37.6</v>
      </c>
      <c r="M217" s="9"/>
      <c r="N217" s="9"/>
      <c r="O217" s="9">
        <v>16807.02</v>
      </c>
      <c r="P217" s="9" t="s">
        <v>109</v>
      </c>
      <c r="Q217" s="9">
        <v>0.22370000000000001</v>
      </c>
      <c r="R217" s="9">
        <v>37.6</v>
      </c>
      <c r="S217" s="9" t="s">
        <v>105</v>
      </c>
      <c r="T217" s="9" t="s">
        <v>158</v>
      </c>
      <c r="U217" s="9" t="b">
        <v>1</v>
      </c>
    </row>
    <row r="218" spans="1:21" x14ac:dyDescent="0.25">
      <c r="A218" s="9">
        <v>5543</v>
      </c>
      <c r="B218" s="9" t="s">
        <v>75</v>
      </c>
      <c r="C218" s="9" t="s">
        <v>40</v>
      </c>
      <c r="D218" s="9" t="s">
        <v>41</v>
      </c>
      <c r="E218" s="9">
        <v>2000</v>
      </c>
      <c r="F218" s="9">
        <v>2002</v>
      </c>
      <c r="G218" s="9">
        <v>2</v>
      </c>
      <c r="H218" s="9">
        <v>14305.56</v>
      </c>
      <c r="I218" s="9">
        <v>29043.09</v>
      </c>
      <c r="J218" s="9"/>
      <c r="K218" s="9">
        <v>2.86</v>
      </c>
      <c r="L218" s="9">
        <v>26.19</v>
      </c>
      <c r="M218" s="9">
        <v>43374.84</v>
      </c>
      <c r="N218" s="9">
        <v>32.979999999999997</v>
      </c>
      <c r="O218" s="9"/>
      <c r="P218" s="9"/>
      <c r="Q218" s="9"/>
      <c r="R218" s="9">
        <v>26.19</v>
      </c>
      <c r="S218" s="9" t="s">
        <v>43</v>
      </c>
      <c r="T218" s="9" t="s">
        <v>156</v>
      </c>
      <c r="U218" s="9" t="b">
        <v>0</v>
      </c>
    </row>
    <row r="219" spans="1:21" x14ac:dyDescent="0.25">
      <c r="A219" s="9">
        <v>5543</v>
      </c>
      <c r="B219" s="9" t="s">
        <v>75</v>
      </c>
      <c r="C219" s="9" t="s">
        <v>40</v>
      </c>
      <c r="D219" s="9" t="s">
        <v>88</v>
      </c>
      <c r="E219" s="9">
        <v>2002</v>
      </c>
      <c r="F219" s="9">
        <v>2004</v>
      </c>
      <c r="G219" s="9">
        <v>2</v>
      </c>
      <c r="H219" s="9">
        <v>14222.48</v>
      </c>
      <c r="I219" s="9">
        <v>29080.720000000001</v>
      </c>
      <c r="J219" s="9"/>
      <c r="K219" s="9"/>
      <c r="L219" s="9">
        <v>52.97</v>
      </c>
      <c r="M219" s="9">
        <v>43356.17</v>
      </c>
      <c r="N219" s="9">
        <v>32.799999999999997</v>
      </c>
      <c r="O219" s="9">
        <v>14305.56</v>
      </c>
      <c r="P219" s="9" t="s">
        <v>41</v>
      </c>
      <c r="Q219" s="9">
        <v>0.18509999999999999</v>
      </c>
      <c r="R219" s="9">
        <v>52.97</v>
      </c>
      <c r="S219" s="9" t="s">
        <v>89</v>
      </c>
      <c r="T219" s="9" t="s">
        <v>157</v>
      </c>
      <c r="U219" s="9" t="b">
        <v>0</v>
      </c>
    </row>
    <row r="220" spans="1:21" x14ac:dyDescent="0.25">
      <c r="A220" s="9">
        <v>5543</v>
      </c>
      <c r="B220" s="9" t="s">
        <v>75</v>
      </c>
      <c r="C220" s="9" t="s">
        <v>40</v>
      </c>
      <c r="D220" s="9" t="s">
        <v>90</v>
      </c>
      <c r="E220" s="9">
        <v>2004</v>
      </c>
      <c r="F220" s="9">
        <v>2006</v>
      </c>
      <c r="G220" s="9">
        <v>2</v>
      </c>
      <c r="H220" s="9">
        <v>14205.31</v>
      </c>
      <c r="I220" s="9">
        <v>29137.18</v>
      </c>
      <c r="J220" s="9"/>
      <c r="K220" s="9">
        <v>4.01</v>
      </c>
      <c r="L220" s="9">
        <v>9.66</v>
      </c>
      <c r="M220" s="9">
        <v>43352.160000000003</v>
      </c>
      <c r="N220" s="9">
        <v>32.770000000000003</v>
      </c>
      <c r="O220" s="9">
        <v>14222.48</v>
      </c>
      <c r="P220" s="9" t="s">
        <v>88</v>
      </c>
      <c r="Q220" s="9">
        <v>3.4000000000000002E-2</v>
      </c>
      <c r="R220" s="9">
        <v>9.66</v>
      </c>
      <c r="S220" s="9" t="s">
        <v>89</v>
      </c>
      <c r="T220" s="9" t="s">
        <v>157</v>
      </c>
      <c r="U220" s="9" t="b">
        <v>0</v>
      </c>
    </row>
    <row r="221" spans="1:21" x14ac:dyDescent="0.25">
      <c r="A221" s="9">
        <v>5543</v>
      </c>
      <c r="B221" s="9" t="s">
        <v>75</v>
      </c>
      <c r="C221" s="9" t="s">
        <v>40</v>
      </c>
      <c r="D221" s="9" t="s">
        <v>91</v>
      </c>
      <c r="E221" s="9">
        <v>2006</v>
      </c>
      <c r="F221" s="9">
        <v>2008</v>
      </c>
      <c r="G221" s="9">
        <v>2</v>
      </c>
      <c r="H221" s="9">
        <v>14189.38</v>
      </c>
      <c r="I221" s="9">
        <v>29152.36</v>
      </c>
      <c r="J221" s="9"/>
      <c r="K221" s="9">
        <v>9.3000000000000007</v>
      </c>
      <c r="L221" s="9">
        <v>5.07</v>
      </c>
      <c r="M221" s="9">
        <v>43346.81</v>
      </c>
      <c r="N221" s="9">
        <v>32.729999999999997</v>
      </c>
      <c r="O221" s="9">
        <v>14205.31</v>
      </c>
      <c r="P221" s="9" t="s">
        <v>90</v>
      </c>
      <c r="Q221" s="9">
        <v>1.78E-2</v>
      </c>
      <c r="R221" s="9">
        <v>5.07</v>
      </c>
      <c r="S221" s="9" t="s">
        <v>89</v>
      </c>
      <c r="T221" s="9" t="s">
        <v>157</v>
      </c>
      <c r="U221" s="9" t="b">
        <v>0</v>
      </c>
    </row>
    <row r="222" spans="1:21" x14ac:dyDescent="0.25">
      <c r="A222" s="9">
        <v>5543</v>
      </c>
      <c r="B222" s="9" t="s">
        <v>75</v>
      </c>
      <c r="C222" s="9" t="s">
        <v>40</v>
      </c>
      <c r="D222" s="9" t="s">
        <v>92</v>
      </c>
      <c r="E222" s="9">
        <v>2008</v>
      </c>
      <c r="F222" s="9">
        <v>2010</v>
      </c>
      <c r="G222" s="9">
        <v>2</v>
      </c>
      <c r="H222" s="9">
        <v>14212.59</v>
      </c>
      <c r="I222" s="9">
        <v>29095.91</v>
      </c>
      <c r="J222" s="9"/>
      <c r="K222" s="9">
        <v>37.81</v>
      </c>
      <c r="L222" s="9">
        <v>9.86</v>
      </c>
      <c r="M222" s="9">
        <v>43318.36</v>
      </c>
      <c r="N222" s="9">
        <v>32.81</v>
      </c>
      <c r="O222" s="9">
        <v>14189.38</v>
      </c>
      <c r="P222" s="9" t="s">
        <v>91</v>
      </c>
      <c r="Q222" s="9">
        <v>3.4799999999999998E-2</v>
      </c>
      <c r="R222" s="9">
        <v>9.86</v>
      </c>
      <c r="S222" s="9" t="s">
        <v>89</v>
      </c>
      <c r="T222" s="9" t="s">
        <v>157</v>
      </c>
      <c r="U222" s="9" t="b">
        <v>0</v>
      </c>
    </row>
    <row r="223" spans="1:21" x14ac:dyDescent="0.25">
      <c r="A223" s="9">
        <v>5543</v>
      </c>
      <c r="B223" s="9" t="s">
        <v>75</v>
      </c>
      <c r="C223" s="9" t="s">
        <v>40</v>
      </c>
      <c r="D223" s="9" t="s">
        <v>93</v>
      </c>
      <c r="E223" s="9">
        <v>2010</v>
      </c>
      <c r="F223" s="9">
        <v>2012</v>
      </c>
      <c r="G223" s="9">
        <v>2</v>
      </c>
      <c r="H223" s="9"/>
      <c r="I223" s="9"/>
      <c r="J223" s="9"/>
      <c r="K223" s="9"/>
      <c r="L223" s="9">
        <v>52.86</v>
      </c>
      <c r="M223" s="9"/>
      <c r="N223" s="9"/>
      <c r="O223" s="9">
        <v>14212.59</v>
      </c>
      <c r="P223" s="9" t="s">
        <v>92</v>
      </c>
      <c r="Q223" s="9">
        <v>0.186</v>
      </c>
      <c r="R223" s="9">
        <v>52.86</v>
      </c>
      <c r="S223" s="9" t="s">
        <v>94</v>
      </c>
      <c r="T223" s="9" t="s">
        <v>158</v>
      </c>
      <c r="U223" s="9" t="b">
        <v>1</v>
      </c>
    </row>
    <row r="224" spans="1:21" x14ac:dyDescent="0.25">
      <c r="A224" s="9">
        <v>5543</v>
      </c>
      <c r="B224" s="9" t="s">
        <v>75</v>
      </c>
      <c r="C224" s="9" t="s">
        <v>40</v>
      </c>
      <c r="D224" s="9" t="s">
        <v>96</v>
      </c>
      <c r="E224" s="9">
        <v>2012</v>
      </c>
      <c r="F224" s="9">
        <v>2013</v>
      </c>
      <c r="G224" s="9">
        <v>1</v>
      </c>
      <c r="H224" s="9">
        <v>14266.5</v>
      </c>
      <c r="I224" s="9">
        <v>28998.62</v>
      </c>
      <c r="J224" s="9"/>
      <c r="K224" s="9">
        <v>79.010000000000005</v>
      </c>
      <c r="L224" s="9">
        <v>58.1</v>
      </c>
      <c r="M224" s="9">
        <v>43323.22</v>
      </c>
      <c r="N224" s="9">
        <v>32.93</v>
      </c>
      <c r="O224" s="9">
        <v>14212.59</v>
      </c>
      <c r="P224" s="9" t="s">
        <v>92</v>
      </c>
      <c r="Q224" s="9">
        <v>0.4088</v>
      </c>
      <c r="R224" s="9">
        <v>58.1</v>
      </c>
      <c r="S224" s="9" t="s">
        <v>97</v>
      </c>
      <c r="T224" s="9" t="s">
        <v>159</v>
      </c>
      <c r="U224" s="9" t="b">
        <v>0</v>
      </c>
    </row>
    <row r="225" spans="1:21" x14ac:dyDescent="0.25">
      <c r="A225" s="9">
        <v>5543</v>
      </c>
      <c r="B225" s="9" t="s">
        <v>75</v>
      </c>
      <c r="C225" s="9" t="s">
        <v>40</v>
      </c>
      <c r="D225" s="9" t="s">
        <v>98</v>
      </c>
      <c r="E225" s="9">
        <v>2013</v>
      </c>
      <c r="F225" s="9">
        <v>2014</v>
      </c>
      <c r="G225" s="9">
        <v>1</v>
      </c>
      <c r="H225" s="9">
        <v>14256.93</v>
      </c>
      <c r="I225" s="9">
        <v>29074.49</v>
      </c>
      <c r="J225" s="9"/>
      <c r="K225" s="9">
        <v>31.78</v>
      </c>
      <c r="L225" s="9">
        <v>17.66</v>
      </c>
      <c r="M225" s="9">
        <v>43349.09</v>
      </c>
      <c r="N225" s="9">
        <v>32.89</v>
      </c>
      <c r="O225" s="9">
        <v>14266.5</v>
      </c>
      <c r="P225" s="9" t="s">
        <v>96</v>
      </c>
      <c r="Q225" s="9">
        <v>0.12379999999999999</v>
      </c>
      <c r="R225" s="9">
        <v>17.66</v>
      </c>
      <c r="S225" s="9" t="s">
        <v>89</v>
      </c>
      <c r="T225" s="9" t="s">
        <v>157</v>
      </c>
      <c r="U225" s="9" t="b">
        <v>0</v>
      </c>
    </row>
    <row r="226" spans="1:21" x14ac:dyDescent="0.25">
      <c r="A226" s="9">
        <v>5543</v>
      </c>
      <c r="B226" s="9" t="s">
        <v>75</v>
      </c>
      <c r="C226" s="9" t="s">
        <v>40</v>
      </c>
      <c r="D226" s="9" t="s">
        <v>99</v>
      </c>
      <c r="E226" s="9">
        <v>2014</v>
      </c>
      <c r="F226" s="9">
        <v>2015</v>
      </c>
      <c r="G226" s="9">
        <v>1</v>
      </c>
      <c r="H226" s="9">
        <v>14215.99</v>
      </c>
      <c r="I226" s="9">
        <v>29057.14</v>
      </c>
      <c r="J226" s="9"/>
      <c r="K226" s="9">
        <v>45.58</v>
      </c>
      <c r="L226" s="9">
        <v>19.13</v>
      </c>
      <c r="M226" s="9">
        <v>43292.27</v>
      </c>
      <c r="N226" s="9">
        <v>32.840000000000003</v>
      </c>
      <c r="O226" s="9">
        <v>14256.93</v>
      </c>
      <c r="P226" s="9" t="s">
        <v>98</v>
      </c>
      <c r="Q226" s="9">
        <v>0.13420000000000001</v>
      </c>
      <c r="R226" s="9">
        <v>19.13</v>
      </c>
      <c r="S226" s="9" t="s">
        <v>43</v>
      </c>
      <c r="T226" s="9" t="s">
        <v>156</v>
      </c>
      <c r="U226" s="9" t="b">
        <v>0</v>
      </c>
    </row>
    <row r="227" spans="1:21" x14ac:dyDescent="0.25">
      <c r="A227" s="9">
        <v>5543</v>
      </c>
      <c r="B227" s="9" t="s">
        <v>75</v>
      </c>
      <c r="C227" s="9" t="s">
        <v>40</v>
      </c>
      <c r="D227" s="9" t="s">
        <v>100</v>
      </c>
      <c r="E227" s="9">
        <v>2015</v>
      </c>
      <c r="F227" s="9">
        <v>2016</v>
      </c>
      <c r="G227" s="9">
        <v>1</v>
      </c>
      <c r="H227" s="9"/>
      <c r="I227" s="9"/>
      <c r="J227" s="9"/>
      <c r="K227" s="9"/>
      <c r="L227" s="9">
        <v>4.74</v>
      </c>
      <c r="M227" s="9"/>
      <c r="N227" s="9"/>
      <c r="O227" s="9">
        <v>14215.99</v>
      </c>
      <c r="P227" s="9" t="s">
        <v>99</v>
      </c>
      <c r="Q227" s="9">
        <v>3.3300000000000003E-2</v>
      </c>
      <c r="R227" s="9">
        <v>4.74</v>
      </c>
      <c r="S227" s="9" t="s">
        <v>160</v>
      </c>
      <c r="T227" s="9" t="s">
        <v>158</v>
      </c>
      <c r="U227" s="9" t="b">
        <v>1</v>
      </c>
    </row>
    <row r="228" spans="1:21" x14ac:dyDescent="0.25">
      <c r="A228" s="9">
        <v>5543</v>
      </c>
      <c r="B228" s="9" t="s">
        <v>75</v>
      </c>
      <c r="C228" s="9" t="s">
        <v>40</v>
      </c>
      <c r="D228" s="9" t="s">
        <v>102</v>
      </c>
      <c r="E228" s="9">
        <v>2016</v>
      </c>
      <c r="F228" s="9">
        <v>2017</v>
      </c>
      <c r="G228" s="9">
        <v>1</v>
      </c>
      <c r="H228" s="9">
        <v>13893.21</v>
      </c>
      <c r="I228" s="9">
        <v>29278.84</v>
      </c>
      <c r="J228" s="9"/>
      <c r="K228" s="9">
        <v>144.81</v>
      </c>
      <c r="L228" s="9">
        <v>39.28</v>
      </c>
      <c r="M228" s="9">
        <v>43211.32</v>
      </c>
      <c r="N228" s="9">
        <v>32.15</v>
      </c>
      <c r="O228" s="9">
        <v>14215.99</v>
      </c>
      <c r="P228" s="9" t="s">
        <v>99</v>
      </c>
      <c r="Q228" s="9">
        <v>0.27629999999999999</v>
      </c>
      <c r="R228" s="9">
        <v>39.28</v>
      </c>
      <c r="S228" s="9" t="s">
        <v>89</v>
      </c>
      <c r="T228" s="9" t="s">
        <v>157</v>
      </c>
      <c r="U228" s="9" t="b">
        <v>0</v>
      </c>
    </row>
    <row r="229" spans="1:21" x14ac:dyDescent="0.25">
      <c r="A229" s="9">
        <v>5543</v>
      </c>
      <c r="B229" s="9" t="s">
        <v>75</v>
      </c>
      <c r="C229" s="9" t="s">
        <v>40</v>
      </c>
      <c r="D229" s="9" t="s">
        <v>103</v>
      </c>
      <c r="E229" s="9">
        <v>2017</v>
      </c>
      <c r="F229" s="9">
        <v>2018</v>
      </c>
      <c r="G229" s="9">
        <v>1</v>
      </c>
      <c r="H229" s="9">
        <v>13328.65</v>
      </c>
      <c r="I229" s="9">
        <v>29354.92</v>
      </c>
      <c r="J229" s="9"/>
      <c r="K229" s="9">
        <v>653.23</v>
      </c>
      <c r="L229" s="9">
        <v>18.579999999999998</v>
      </c>
      <c r="M229" s="9">
        <v>42702.15</v>
      </c>
      <c r="N229" s="9">
        <v>31.21</v>
      </c>
      <c r="O229" s="9">
        <v>13893.21</v>
      </c>
      <c r="P229" s="9" t="s">
        <v>102</v>
      </c>
      <c r="Q229" s="9">
        <v>0.1338</v>
      </c>
      <c r="R229" s="9">
        <v>18.579999999999998</v>
      </c>
      <c r="S229" s="9" t="s">
        <v>89</v>
      </c>
      <c r="T229" s="9" t="s">
        <v>157</v>
      </c>
      <c r="U229" s="9" t="b">
        <v>0</v>
      </c>
    </row>
    <row r="230" spans="1:21" x14ac:dyDescent="0.25">
      <c r="A230" s="9">
        <v>5543</v>
      </c>
      <c r="B230" s="9" t="s">
        <v>75</v>
      </c>
      <c r="C230" s="9" t="s">
        <v>40</v>
      </c>
      <c r="D230" s="9" t="s">
        <v>104</v>
      </c>
      <c r="E230" s="9">
        <v>2018</v>
      </c>
      <c r="F230" s="9">
        <v>2019</v>
      </c>
      <c r="G230" s="9">
        <v>1</v>
      </c>
      <c r="H230" s="9"/>
      <c r="I230" s="9"/>
      <c r="J230" s="9"/>
      <c r="K230" s="9"/>
      <c r="L230" s="9">
        <v>28.84</v>
      </c>
      <c r="M230" s="9"/>
      <c r="N230" s="9"/>
      <c r="O230" s="9">
        <v>13328.65</v>
      </c>
      <c r="P230" s="9" t="s">
        <v>103</v>
      </c>
      <c r="Q230" s="9">
        <v>0.21640000000000001</v>
      </c>
      <c r="R230" s="9">
        <v>28.84</v>
      </c>
      <c r="S230" s="9" t="s">
        <v>105</v>
      </c>
      <c r="T230" s="9" t="s">
        <v>158</v>
      </c>
      <c r="U230" s="9" t="b">
        <v>1</v>
      </c>
    </row>
    <row r="231" spans="1:21" x14ac:dyDescent="0.25">
      <c r="A231" s="9">
        <v>5543</v>
      </c>
      <c r="B231" s="9" t="s">
        <v>75</v>
      </c>
      <c r="C231" s="9" t="s">
        <v>40</v>
      </c>
      <c r="D231" s="9" t="s">
        <v>106</v>
      </c>
      <c r="E231" s="9">
        <v>2019</v>
      </c>
      <c r="F231" s="9">
        <v>2020</v>
      </c>
      <c r="G231" s="9">
        <v>1</v>
      </c>
      <c r="H231" s="9">
        <v>13909.81</v>
      </c>
      <c r="I231" s="9">
        <v>29406.9</v>
      </c>
      <c r="J231" s="9"/>
      <c r="K231" s="9"/>
      <c r="L231" s="9">
        <v>39.090000000000003</v>
      </c>
      <c r="M231" s="9">
        <v>43355.8</v>
      </c>
      <c r="N231" s="9">
        <v>32.08</v>
      </c>
      <c r="O231" s="9">
        <v>13328.65</v>
      </c>
      <c r="P231" s="9" t="s">
        <v>103</v>
      </c>
      <c r="Q231" s="9">
        <v>0.29330000000000001</v>
      </c>
      <c r="R231" s="9">
        <v>39.090000000000003</v>
      </c>
      <c r="S231" s="9" t="s">
        <v>89</v>
      </c>
      <c r="T231" s="9" t="s">
        <v>157</v>
      </c>
      <c r="U231" s="9" t="b">
        <v>0</v>
      </c>
    </row>
    <row r="232" spans="1:21" x14ac:dyDescent="0.25">
      <c r="A232" s="9">
        <v>5543</v>
      </c>
      <c r="B232" s="9" t="s">
        <v>75</v>
      </c>
      <c r="C232" s="9" t="s">
        <v>40</v>
      </c>
      <c r="D232" s="9" t="s">
        <v>107</v>
      </c>
      <c r="E232" s="9">
        <v>2020</v>
      </c>
      <c r="F232" s="9">
        <v>2021</v>
      </c>
      <c r="G232" s="9">
        <v>1</v>
      </c>
      <c r="H232" s="9">
        <v>13899.2</v>
      </c>
      <c r="I232" s="9">
        <v>29446.880000000001</v>
      </c>
      <c r="J232" s="9"/>
      <c r="K232" s="9"/>
      <c r="L232" s="9">
        <v>9.82</v>
      </c>
      <c r="M232" s="9">
        <v>43355.9</v>
      </c>
      <c r="N232" s="9">
        <v>32.06</v>
      </c>
      <c r="O232" s="9">
        <v>13909.81</v>
      </c>
      <c r="P232" s="9" t="s">
        <v>106</v>
      </c>
      <c r="Q232" s="9">
        <v>7.0599999999999996E-2</v>
      </c>
      <c r="R232" s="9">
        <v>9.82</v>
      </c>
      <c r="S232" s="9" t="s">
        <v>89</v>
      </c>
      <c r="T232" s="9" t="s">
        <v>157</v>
      </c>
      <c r="U232" s="9" t="b">
        <v>0</v>
      </c>
    </row>
    <row r="233" spans="1:21" x14ac:dyDescent="0.25">
      <c r="A233" s="9">
        <v>5543</v>
      </c>
      <c r="B233" s="9" t="s">
        <v>75</v>
      </c>
      <c r="C233" s="9" t="s">
        <v>40</v>
      </c>
      <c r="D233" s="9" t="s">
        <v>108</v>
      </c>
      <c r="E233" s="9">
        <v>2021</v>
      </c>
      <c r="F233" s="9">
        <v>2022</v>
      </c>
      <c r="G233" s="9">
        <v>1</v>
      </c>
      <c r="H233" s="9">
        <v>13821.29</v>
      </c>
      <c r="I233" s="9">
        <v>29530.63</v>
      </c>
      <c r="J233" s="9"/>
      <c r="K233" s="9"/>
      <c r="L233" s="9">
        <v>3.84</v>
      </c>
      <c r="M233" s="9">
        <v>43355.77</v>
      </c>
      <c r="N233" s="9">
        <v>31.88</v>
      </c>
      <c r="O233" s="9">
        <v>13899.2</v>
      </c>
      <c r="P233" s="9" t="s">
        <v>107</v>
      </c>
      <c r="Q233" s="9">
        <v>2.7699999999999999E-2</v>
      </c>
      <c r="R233" s="9">
        <v>3.84</v>
      </c>
      <c r="S233" s="9" t="s">
        <v>89</v>
      </c>
      <c r="T233" s="9" t="s">
        <v>157</v>
      </c>
      <c r="U233" s="9" t="b">
        <v>0</v>
      </c>
    </row>
    <row r="234" spans="1:21" x14ac:dyDescent="0.25">
      <c r="A234" s="9">
        <v>5543</v>
      </c>
      <c r="B234" s="9" t="s">
        <v>75</v>
      </c>
      <c r="C234" s="9" t="s">
        <v>40</v>
      </c>
      <c r="D234" s="9" t="s">
        <v>109</v>
      </c>
      <c r="E234" s="9">
        <v>2022</v>
      </c>
      <c r="F234" s="9">
        <v>2023</v>
      </c>
      <c r="G234" s="9">
        <v>1</v>
      </c>
      <c r="H234" s="9">
        <v>13822.3</v>
      </c>
      <c r="I234" s="9">
        <v>29529.02</v>
      </c>
      <c r="J234" s="9"/>
      <c r="K234" s="9"/>
      <c r="L234" s="9">
        <v>4.6900000000000004</v>
      </c>
      <c r="M234" s="9">
        <v>43356</v>
      </c>
      <c r="N234" s="9">
        <v>31.88</v>
      </c>
      <c r="O234" s="9">
        <v>13821.29</v>
      </c>
      <c r="P234" s="9" t="s">
        <v>108</v>
      </c>
      <c r="Q234" s="9">
        <v>3.39E-2</v>
      </c>
      <c r="R234" s="9">
        <v>4.6900000000000004</v>
      </c>
      <c r="S234" s="9" t="s">
        <v>89</v>
      </c>
      <c r="T234" s="9" t="s">
        <v>157</v>
      </c>
      <c r="U234" s="9" t="b">
        <v>0</v>
      </c>
    </row>
    <row r="235" spans="1:21" x14ac:dyDescent="0.25">
      <c r="A235" s="9">
        <v>5543</v>
      </c>
      <c r="B235" s="9" t="s">
        <v>75</v>
      </c>
      <c r="C235" s="9" t="s">
        <v>40</v>
      </c>
      <c r="D235" s="9" t="s">
        <v>110</v>
      </c>
      <c r="E235" s="9">
        <v>2023</v>
      </c>
      <c r="F235" s="9">
        <v>2024</v>
      </c>
      <c r="G235" s="9">
        <v>1</v>
      </c>
      <c r="H235" s="9"/>
      <c r="I235" s="9"/>
      <c r="J235" s="9"/>
      <c r="K235" s="9"/>
      <c r="L235" s="9">
        <v>0.98</v>
      </c>
      <c r="M235" s="9"/>
      <c r="N235" s="9"/>
      <c r="O235" s="9">
        <v>13822.3</v>
      </c>
      <c r="P235" s="9" t="s">
        <v>109</v>
      </c>
      <c r="Q235" s="9">
        <v>7.1000000000000004E-3</v>
      </c>
      <c r="R235" s="9">
        <v>0.98</v>
      </c>
      <c r="S235" s="9" t="s">
        <v>105</v>
      </c>
      <c r="T235" s="9" t="s">
        <v>158</v>
      </c>
      <c r="U235" s="9" t="b">
        <v>1</v>
      </c>
    </row>
    <row r="236" spans="1:21" x14ac:dyDescent="0.25">
      <c r="A236" s="9">
        <v>5659</v>
      </c>
      <c r="B236" s="9" t="s">
        <v>77</v>
      </c>
      <c r="C236" s="9" t="s">
        <v>53</v>
      </c>
      <c r="D236" s="9" t="s">
        <v>41</v>
      </c>
      <c r="E236" s="9">
        <v>2000</v>
      </c>
      <c r="F236" s="9">
        <v>2002</v>
      </c>
      <c r="G236" s="9">
        <v>2</v>
      </c>
      <c r="H236" s="9">
        <v>243.83</v>
      </c>
      <c r="I236" s="9">
        <v>24871.48</v>
      </c>
      <c r="J236" s="9"/>
      <c r="K236" s="9">
        <v>18.63</v>
      </c>
      <c r="L236" s="9"/>
      <c r="M236" s="9">
        <v>25115.32</v>
      </c>
      <c r="N236" s="9">
        <v>0.97</v>
      </c>
      <c r="O236" s="9"/>
      <c r="P236" s="9"/>
      <c r="Q236" s="9"/>
      <c r="R236" s="9">
        <v>0</v>
      </c>
      <c r="S236" s="9" t="s">
        <v>43</v>
      </c>
      <c r="T236" s="9" t="s">
        <v>156</v>
      </c>
      <c r="U236" s="9" t="b">
        <v>0</v>
      </c>
    </row>
    <row r="237" spans="1:21" x14ac:dyDescent="0.25">
      <c r="A237" s="9">
        <v>5659</v>
      </c>
      <c r="B237" s="9" t="s">
        <v>77</v>
      </c>
      <c r="C237" s="9" t="s">
        <v>53</v>
      </c>
      <c r="D237" s="9" t="s">
        <v>88</v>
      </c>
      <c r="E237" s="9">
        <v>2002</v>
      </c>
      <c r="F237" s="9">
        <v>2004</v>
      </c>
      <c r="G237" s="9">
        <v>2</v>
      </c>
      <c r="H237" s="9">
        <v>240.2</v>
      </c>
      <c r="I237" s="9">
        <v>24839.93</v>
      </c>
      <c r="J237" s="9"/>
      <c r="K237" s="9"/>
      <c r="L237" s="9">
        <v>2.3199999999999998</v>
      </c>
      <c r="M237" s="9">
        <v>25082.45</v>
      </c>
      <c r="N237" s="9">
        <v>0.96</v>
      </c>
      <c r="O237" s="9">
        <v>243.83</v>
      </c>
      <c r="P237" s="9" t="s">
        <v>41</v>
      </c>
      <c r="Q237" s="9">
        <v>0.47520000000000001</v>
      </c>
      <c r="R237" s="9">
        <v>2.3199999999999998</v>
      </c>
      <c r="S237" s="9" t="s">
        <v>89</v>
      </c>
      <c r="T237" s="9" t="s">
        <v>157</v>
      </c>
      <c r="U237" s="9" t="b">
        <v>0</v>
      </c>
    </row>
    <row r="238" spans="1:21" x14ac:dyDescent="0.25">
      <c r="A238" s="9">
        <v>5659</v>
      </c>
      <c r="B238" s="9" t="s">
        <v>77</v>
      </c>
      <c r="C238" s="9" t="s">
        <v>53</v>
      </c>
      <c r="D238" s="9" t="s">
        <v>90</v>
      </c>
      <c r="E238" s="9">
        <v>2004</v>
      </c>
      <c r="F238" s="9">
        <v>2006</v>
      </c>
      <c r="G238" s="9">
        <v>2</v>
      </c>
      <c r="H238" s="9">
        <v>231.66</v>
      </c>
      <c r="I238" s="9">
        <v>24842.81</v>
      </c>
      <c r="J238" s="9"/>
      <c r="K238" s="9"/>
      <c r="L238" s="9">
        <v>7.98</v>
      </c>
      <c r="M238" s="9">
        <v>25082.45</v>
      </c>
      <c r="N238" s="9">
        <v>0.92</v>
      </c>
      <c r="O238" s="9">
        <v>240.2</v>
      </c>
      <c r="P238" s="9" t="s">
        <v>88</v>
      </c>
      <c r="Q238" s="9">
        <v>1.6612</v>
      </c>
      <c r="R238" s="9">
        <v>7.98</v>
      </c>
      <c r="S238" s="9" t="s">
        <v>89</v>
      </c>
      <c r="T238" s="9" t="s">
        <v>157</v>
      </c>
      <c r="U238" s="9" t="b">
        <v>0</v>
      </c>
    </row>
    <row r="239" spans="1:21" x14ac:dyDescent="0.25">
      <c r="A239" s="9">
        <v>5659</v>
      </c>
      <c r="B239" s="9" t="s">
        <v>77</v>
      </c>
      <c r="C239" s="9" t="s">
        <v>53</v>
      </c>
      <c r="D239" s="9" t="s">
        <v>91</v>
      </c>
      <c r="E239" s="9">
        <v>2006</v>
      </c>
      <c r="F239" s="9">
        <v>2008</v>
      </c>
      <c r="G239" s="9">
        <v>2</v>
      </c>
      <c r="H239" s="9">
        <v>231.73</v>
      </c>
      <c r="I239" s="9">
        <v>24849.3</v>
      </c>
      <c r="J239" s="9"/>
      <c r="K239" s="9"/>
      <c r="L239" s="9">
        <v>1.41</v>
      </c>
      <c r="M239" s="9">
        <v>25082.45</v>
      </c>
      <c r="N239" s="9">
        <v>0.92</v>
      </c>
      <c r="O239" s="9">
        <v>231.66</v>
      </c>
      <c r="P239" s="9" t="s">
        <v>90</v>
      </c>
      <c r="Q239" s="9">
        <v>0.30509999999999998</v>
      </c>
      <c r="R239" s="9">
        <v>1.41</v>
      </c>
      <c r="S239" s="9" t="s">
        <v>89</v>
      </c>
      <c r="T239" s="9" t="s">
        <v>157</v>
      </c>
      <c r="U239" s="9" t="b">
        <v>0</v>
      </c>
    </row>
    <row r="240" spans="1:21" x14ac:dyDescent="0.25">
      <c r="A240" s="9">
        <v>5659</v>
      </c>
      <c r="B240" s="9" t="s">
        <v>77</v>
      </c>
      <c r="C240" s="9" t="s">
        <v>53</v>
      </c>
      <c r="D240" s="9" t="s">
        <v>92</v>
      </c>
      <c r="E240" s="9">
        <v>2008</v>
      </c>
      <c r="F240" s="9">
        <v>2010</v>
      </c>
      <c r="G240" s="9">
        <v>2</v>
      </c>
      <c r="H240" s="9">
        <v>229.95</v>
      </c>
      <c r="I240" s="9">
        <v>24852.5</v>
      </c>
      <c r="J240" s="9"/>
      <c r="K240" s="9"/>
      <c r="L240" s="9"/>
      <c r="M240" s="9">
        <v>25082.45</v>
      </c>
      <c r="N240" s="9">
        <v>0.92</v>
      </c>
      <c r="O240" s="9">
        <v>231.73</v>
      </c>
      <c r="P240" s="9" t="s">
        <v>91</v>
      </c>
      <c r="Q240" s="9"/>
      <c r="R240" s="9">
        <v>0</v>
      </c>
      <c r="S240" s="9" t="s">
        <v>89</v>
      </c>
      <c r="T240" s="9" t="s">
        <v>157</v>
      </c>
      <c r="U240" s="9" t="b">
        <v>0</v>
      </c>
    </row>
    <row r="241" spans="1:21" x14ac:dyDescent="0.25">
      <c r="A241" s="9">
        <v>5659</v>
      </c>
      <c r="B241" s="9" t="s">
        <v>77</v>
      </c>
      <c r="C241" s="9" t="s">
        <v>53</v>
      </c>
      <c r="D241" s="9" t="s">
        <v>93</v>
      </c>
      <c r="E241" s="9">
        <v>2010</v>
      </c>
      <c r="F241" s="9">
        <v>2012</v>
      </c>
      <c r="G241" s="9">
        <v>2</v>
      </c>
      <c r="H241" s="9"/>
      <c r="I241" s="9"/>
      <c r="J241" s="9"/>
      <c r="K241" s="9"/>
      <c r="L241" s="9">
        <v>2.83</v>
      </c>
      <c r="M241" s="9"/>
      <c r="N241" s="9"/>
      <c r="O241" s="9">
        <v>229.95</v>
      </c>
      <c r="P241" s="9" t="s">
        <v>92</v>
      </c>
      <c r="Q241" s="9">
        <v>0.61539999999999995</v>
      </c>
      <c r="R241" s="9">
        <v>2.83</v>
      </c>
      <c r="S241" s="9" t="s">
        <v>94</v>
      </c>
      <c r="T241" s="9" t="s">
        <v>158</v>
      </c>
      <c r="U241" s="9" t="b">
        <v>1</v>
      </c>
    </row>
    <row r="242" spans="1:21" x14ac:dyDescent="0.25">
      <c r="A242" s="9">
        <v>5659</v>
      </c>
      <c r="B242" s="9" t="s">
        <v>77</v>
      </c>
      <c r="C242" s="9" t="s">
        <v>53</v>
      </c>
      <c r="D242" s="9" t="s">
        <v>96</v>
      </c>
      <c r="E242" s="9">
        <v>2012</v>
      </c>
      <c r="F242" s="9">
        <v>2013</v>
      </c>
      <c r="G242" s="9">
        <v>1</v>
      </c>
      <c r="H242" s="9">
        <v>67.86</v>
      </c>
      <c r="I242" s="9">
        <v>25020.89</v>
      </c>
      <c r="J242" s="9"/>
      <c r="K242" s="9">
        <v>10.88</v>
      </c>
      <c r="L242" s="9"/>
      <c r="M242" s="9">
        <v>25088.75</v>
      </c>
      <c r="N242" s="9">
        <v>0.27</v>
      </c>
      <c r="O242" s="9">
        <v>229.95</v>
      </c>
      <c r="P242" s="9" t="s">
        <v>92</v>
      </c>
      <c r="Q242" s="9"/>
      <c r="R242" s="9">
        <v>0</v>
      </c>
      <c r="S242" s="9" t="s">
        <v>97</v>
      </c>
      <c r="T242" s="9" t="s">
        <v>159</v>
      </c>
      <c r="U242" s="9" t="b">
        <v>0</v>
      </c>
    </row>
    <row r="243" spans="1:21" x14ac:dyDescent="0.25">
      <c r="A243" s="9">
        <v>5659</v>
      </c>
      <c r="B243" s="9" t="s">
        <v>77</v>
      </c>
      <c r="C243" s="9" t="s">
        <v>53</v>
      </c>
      <c r="D243" s="9" t="s">
        <v>98</v>
      </c>
      <c r="E243" s="9">
        <v>2013</v>
      </c>
      <c r="F243" s="9">
        <v>2014</v>
      </c>
      <c r="G243" s="9">
        <v>1</v>
      </c>
      <c r="H243" s="9">
        <v>68.22</v>
      </c>
      <c r="I243" s="9">
        <v>25058.17</v>
      </c>
      <c r="J243" s="9"/>
      <c r="K243" s="9"/>
      <c r="L243" s="9"/>
      <c r="M243" s="9">
        <v>25126.39</v>
      </c>
      <c r="N243" s="9">
        <v>0.27</v>
      </c>
      <c r="O243" s="9">
        <v>67.86</v>
      </c>
      <c r="P243" s="9" t="s">
        <v>96</v>
      </c>
      <c r="Q243" s="9"/>
      <c r="R243" s="9">
        <v>0</v>
      </c>
      <c r="S243" s="9" t="s">
        <v>89</v>
      </c>
      <c r="T243" s="9" t="s">
        <v>157</v>
      </c>
      <c r="U243" s="9" t="b">
        <v>0</v>
      </c>
    </row>
    <row r="244" spans="1:21" x14ac:dyDescent="0.25">
      <c r="A244" s="9">
        <v>5659</v>
      </c>
      <c r="B244" s="9" t="s">
        <v>77</v>
      </c>
      <c r="C244" s="9" t="s">
        <v>53</v>
      </c>
      <c r="D244" s="9" t="s">
        <v>99</v>
      </c>
      <c r="E244" s="9">
        <v>2014</v>
      </c>
      <c r="F244" s="9">
        <v>2015</v>
      </c>
      <c r="G244" s="9">
        <v>1</v>
      </c>
      <c r="H244" s="9">
        <v>68.09</v>
      </c>
      <c r="I244" s="9">
        <v>25012.94</v>
      </c>
      <c r="J244" s="9"/>
      <c r="K244" s="9"/>
      <c r="L244" s="9"/>
      <c r="M244" s="9">
        <v>25081.03</v>
      </c>
      <c r="N244" s="9">
        <v>0.27</v>
      </c>
      <c r="O244" s="9">
        <v>68.22</v>
      </c>
      <c r="P244" s="9" t="s">
        <v>98</v>
      </c>
      <c r="Q244" s="9"/>
      <c r="R244" s="9">
        <v>0</v>
      </c>
      <c r="S244" s="9" t="s">
        <v>43</v>
      </c>
      <c r="T244" s="9" t="s">
        <v>156</v>
      </c>
      <c r="U244" s="9" t="b">
        <v>0</v>
      </c>
    </row>
    <row r="245" spans="1:21" x14ac:dyDescent="0.25">
      <c r="A245" s="9">
        <v>5659</v>
      </c>
      <c r="B245" s="9" t="s">
        <v>77</v>
      </c>
      <c r="C245" s="9" t="s">
        <v>53</v>
      </c>
      <c r="D245" s="9" t="s">
        <v>102</v>
      </c>
      <c r="E245" s="9">
        <v>2016</v>
      </c>
      <c r="F245" s="9">
        <v>2017</v>
      </c>
      <c r="G245" s="9">
        <v>1</v>
      </c>
      <c r="H245" s="9">
        <v>67.510000000000005</v>
      </c>
      <c r="I245" s="9">
        <v>25015.82</v>
      </c>
      <c r="J245" s="9"/>
      <c r="K245" s="9"/>
      <c r="L245" s="9"/>
      <c r="M245" s="9">
        <v>25083.33</v>
      </c>
      <c r="N245" s="9">
        <v>0.27</v>
      </c>
      <c r="O245" s="9">
        <v>68.09</v>
      </c>
      <c r="P245" s="9" t="s">
        <v>99</v>
      </c>
      <c r="Q245" s="9"/>
      <c r="R245" s="9">
        <v>0</v>
      </c>
      <c r="S245" s="9" t="s">
        <v>89</v>
      </c>
      <c r="T245" s="9" t="s">
        <v>157</v>
      </c>
      <c r="U245" s="9" t="b">
        <v>0</v>
      </c>
    </row>
    <row r="246" spans="1:21" x14ac:dyDescent="0.25">
      <c r="A246" s="9">
        <v>5659</v>
      </c>
      <c r="B246" s="9" t="s">
        <v>77</v>
      </c>
      <c r="C246" s="9" t="s">
        <v>53</v>
      </c>
      <c r="D246" s="9" t="s">
        <v>103</v>
      </c>
      <c r="E246" s="9">
        <v>2017</v>
      </c>
      <c r="F246" s="9">
        <v>2018</v>
      </c>
      <c r="G246" s="9">
        <v>1</v>
      </c>
      <c r="H246" s="9">
        <v>581.07000000000005</v>
      </c>
      <c r="I246" s="9">
        <v>24337.18</v>
      </c>
      <c r="J246" s="9">
        <v>1.77</v>
      </c>
      <c r="K246" s="9">
        <v>160.6</v>
      </c>
      <c r="L246" s="9">
        <v>2.67</v>
      </c>
      <c r="M246" s="9">
        <v>24922.7</v>
      </c>
      <c r="N246" s="9">
        <v>2.33</v>
      </c>
      <c r="O246" s="9">
        <v>67.510000000000005</v>
      </c>
      <c r="P246" s="9" t="s">
        <v>102</v>
      </c>
      <c r="Q246" s="9">
        <v>3.9590000000000001</v>
      </c>
      <c r="R246" s="9">
        <v>0.9</v>
      </c>
      <c r="S246" s="9" t="s">
        <v>89</v>
      </c>
      <c r="T246" s="9" t="s">
        <v>157</v>
      </c>
      <c r="U246" s="9" t="b">
        <v>0</v>
      </c>
    </row>
    <row r="247" spans="1:21" x14ac:dyDescent="0.25">
      <c r="A247" s="9">
        <v>5659</v>
      </c>
      <c r="B247" s="9" t="s">
        <v>77</v>
      </c>
      <c r="C247" s="9" t="s">
        <v>53</v>
      </c>
      <c r="D247" s="9" t="s">
        <v>104</v>
      </c>
      <c r="E247" s="9">
        <v>2018</v>
      </c>
      <c r="F247" s="9">
        <v>2019</v>
      </c>
      <c r="G247" s="9">
        <v>1</v>
      </c>
      <c r="H247" s="9"/>
      <c r="I247" s="9"/>
      <c r="J247" s="9"/>
      <c r="K247" s="9"/>
      <c r="L247" s="9">
        <v>4.17</v>
      </c>
      <c r="M247" s="9"/>
      <c r="N247" s="9"/>
      <c r="O247" s="9">
        <v>581.07000000000005</v>
      </c>
      <c r="P247" s="9" t="s">
        <v>103</v>
      </c>
      <c r="Q247" s="9">
        <v>0.71760000000000002</v>
      </c>
      <c r="R247" s="9">
        <v>4.17</v>
      </c>
      <c r="S247" s="9" t="s">
        <v>105</v>
      </c>
      <c r="T247" s="9" t="s">
        <v>158</v>
      </c>
      <c r="U247" s="9" t="b">
        <v>1</v>
      </c>
    </row>
    <row r="248" spans="1:21" x14ac:dyDescent="0.25">
      <c r="A248" s="9">
        <v>5659</v>
      </c>
      <c r="B248" s="9" t="s">
        <v>77</v>
      </c>
      <c r="C248" s="9" t="s">
        <v>53</v>
      </c>
      <c r="D248" s="9" t="s">
        <v>106</v>
      </c>
      <c r="E248" s="9">
        <v>2019</v>
      </c>
      <c r="F248" s="9">
        <v>2020</v>
      </c>
      <c r="G248" s="9">
        <v>1</v>
      </c>
      <c r="H248" s="9">
        <v>572.80999999999995</v>
      </c>
      <c r="I248" s="9">
        <v>24465.71</v>
      </c>
      <c r="J248" s="9"/>
      <c r="K248" s="9">
        <v>39.130000000000003</v>
      </c>
      <c r="L248" s="9">
        <v>5.67</v>
      </c>
      <c r="M248" s="9">
        <v>25044.19</v>
      </c>
      <c r="N248" s="9">
        <v>2.29</v>
      </c>
      <c r="O248" s="9">
        <v>581.07000000000005</v>
      </c>
      <c r="P248" s="9" t="s">
        <v>103</v>
      </c>
      <c r="Q248" s="9">
        <v>0.97619999999999996</v>
      </c>
      <c r="R248" s="9">
        <v>5.67</v>
      </c>
      <c r="S248" s="9" t="s">
        <v>89</v>
      </c>
      <c r="T248" s="9" t="s">
        <v>157</v>
      </c>
      <c r="U248" s="9" t="b">
        <v>0</v>
      </c>
    </row>
    <row r="249" spans="1:21" x14ac:dyDescent="0.25">
      <c r="A249" s="9">
        <v>5659</v>
      </c>
      <c r="B249" s="9" t="s">
        <v>77</v>
      </c>
      <c r="C249" s="9" t="s">
        <v>53</v>
      </c>
      <c r="D249" s="9" t="s">
        <v>107</v>
      </c>
      <c r="E249" s="9">
        <v>2020</v>
      </c>
      <c r="F249" s="9">
        <v>2021</v>
      </c>
      <c r="G249" s="9">
        <v>1</v>
      </c>
      <c r="H249" s="9">
        <v>572.71</v>
      </c>
      <c r="I249" s="9">
        <v>24510.61</v>
      </c>
      <c r="J249" s="9"/>
      <c r="K249" s="9">
        <v>0.12</v>
      </c>
      <c r="L249" s="9"/>
      <c r="M249" s="9">
        <v>25083.32</v>
      </c>
      <c r="N249" s="9">
        <v>2.2799999999999998</v>
      </c>
      <c r="O249" s="9">
        <v>572.80999999999995</v>
      </c>
      <c r="P249" s="9" t="s">
        <v>106</v>
      </c>
      <c r="Q249" s="9"/>
      <c r="R249" s="9">
        <v>0</v>
      </c>
      <c r="S249" s="9" t="s">
        <v>89</v>
      </c>
      <c r="T249" s="9" t="s">
        <v>157</v>
      </c>
      <c r="U249" s="9" t="b">
        <v>0</v>
      </c>
    </row>
    <row r="250" spans="1:21" x14ac:dyDescent="0.25">
      <c r="A250" s="9">
        <v>5659</v>
      </c>
      <c r="B250" s="9" t="s">
        <v>77</v>
      </c>
      <c r="C250" s="9" t="s">
        <v>53</v>
      </c>
      <c r="D250" s="9" t="s">
        <v>108</v>
      </c>
      <c r="E250" s="9">
        <v>2021</v>
      </c>
      <c r="F250" s="9">
        <v>2022</v>
      </c>
      <c r="G250" s="9">
        <v>1</v>
      </c>
      <c r="H250" s="9">
        <v>569.16</v>
      </c>
      <c r="I250" s="9">
        <v>24496.33</v>
      </c>
      <c r="J250" s="9"/>
      <c r="K250" s="9">
        <v>3.48</v>
      </c>
      <c r="L250" s="9">
        <v>13.94</v>
      </c>
      <c r="M250" s="9">
        <v>25079.43</v>
      </c>
      <c r="N250" s="9">
        <v>2.27</v>
      </c>
      <c r="O250" s="9">
        <v>572.71</v>
      </c>
      <c r="P250" s="9" t="s">
        <v>107</v>
      </c>
      <c r="Q250" s="9">
        <v>2.4337</v>
      </c>
      <c r="R250" s="9">
        <v>13.94</v>
      </c>
      <c r="S250" s="9" t="s">
        <v>89</v>
      </c>
      <c r="T250" s="9" t="s">
        <v>157</v>
      </c>
      <c r="U250" s="9" t="b">
        <v>0</v>
      </c>
    </row>
    <row r="251" spans="1:21" x14ac:dyDescent="0.25">
      <c r="A251" s="9">
        <v>5659</v>
      </c>
      <c r="B251" s="9" t="s">
        <v>77</v>
      </c>
      <c r="C251" s="9" t="s">
        <v>53</v>
      </c>
      <c r="D251" s="9" t="s">
        <v>109</v>
      </c>
      <c r="E251" s="9">
        <v>2022</v>
      </c>
      <c r="F251" s="9">
        <v>2023</v>
      </c>
      <c r="G251" s="9">
        <v>1</v>
      </c>
      <c r="H251" s="9">
        <v>510.9</v>
      </c>
      <c r="I251" s="9">
        <v>24563.86</v>
      </c>
      <c r="J251" s="9"/>
      <c r="K251" s="9">
        <v>0.43</v>
      </c>
      <c r="L251" s="9">
        <v>8.6199999999999992</v>
      </c>
      <c r="M251" s="9">
        <v>25083.37</v>
      </c>
      <c r="N251" s="9">
        <v>2.04</v>
      </c>
      <c r="O251" s="9">
        <v>569.16</v>
      </c>
      <c r="P251" s="9" t="s">
        <v>108</v>
      </c>
      <c r="Q251" s="9">
        <v>1.514</v>
      </c>
      <c r="R251" s="9">
        <v>8.6199999999999992</v>
      </c>
      <c r="S251" s="9" t="s">
        <v>89</v>
      </c>
      <c r="T251" s="9" t="s">
        <v>157</v>
      </c>
      <c r="U251" s="9" t="b">
        <v>0</v>
      </c>
    </row>
    <row r="252" spans="1:21" x14ac:dyDescent="0.25">
      <c r="A252" s="9">
        <v>5659</v>
      </c>
      <c r="B252" s="9" t="s">
        <v>77</v>
      </c>
      <c r="C252" s="9" t="s">
        <v>53</v>
      </c>
      <c r="D252" s="9" t="s">
        <v>110</v>
      </c>
      <c r="E252" s="9">
        <v>2023</v>
      </c>
      <c r="F252" s="9">
        <v>2024</v>
      </c>
      <c r="G252" s="9">
        <v>1</v>
      </c>
      <c r="H252" s="9"/>
      <c r="I252" s="9"/>
      <c r="J252" s="9"/>
      <c r="K252" s="9"/>
      <c r="L252" s="9">
        <v>12.35</v>
      </c>
      <c r="M252" s="9"/>
      <c r="N252" s="9"/>
      <c r="O252" s="9">
        <v>510.9</v>
      </c>
      <c r="P252" s="9" t="s">
        <v>109</v>
      </c>
      <c r="Q252" s="9">
        <v>2.4173</v>
      </c>
      <c r="R252" s="9">
        <v>12.35</v>
      </c>
      <c r="S252" s="9" t="s">
        <v>105</v>
      </c>
      <c r="T252" s="9" t="s">
        <v>158</v>
      </c>
      <c r="U252" s="9" t="b">
        <v>1</v>
      </c>
    </row>
    <row r="253" spans="1:21" x14ac:dyDescent="0.25">
      <c r="A253" s="9">
        <v>5665</v>
      </c>
      <c r="B253" s="9" t="s">
        <v>79</v>
      </c>
      <c r="C253" s="9" t="s">
        <v>53</v>
      </c>
      <c r="D253" s="9" t="s">
        <v>41</v>
      </c>
      <c r="E253" s="9">
        <v>2000</v>
      </c>
      <c r="F253" s="9">
        <v>2002</v>
      </c>
      <c r="G253" s="9">
        <v>2</v>
      </c>
      <c r="H253" s="9">
        <v>1530.87</v>
      </c>
      <c r="I253" s="9">
        <v>55071.13</v>
      </c>
      <c r="J253" s="9"/>
      <c r="K253" s="9"/>
      <c r="L253" s="9">
        <v>0.79</v>
      </c>
      <c r="M253" s="9">
        <v>56602.79</v>
      </c>
      <c r="N253" s="9">
        <v>2.7</v>
      </c>
      <c r="O253" s="9"/>
      <c r="P253" s="9"/>
      <c r="Q253" s="9"/>
      <c r="R253" s="9">
        <v>0.79</v>
      </c>
      <c r="S253" s="9" t="s">
        <v>43</v>
      </c>
      <c r="T253" s="9" t="s">
        <v>156</v>
      </c>
      <c r="U253" s="9" t="b">
        <v>0</v>
      </c>
    </row>
    <row r="254" spans="1:21" x14ac:dyDescent="0.25">
      <c r="A254" s="9">
        <v>5665</v>
      </c>
      <c r="B254" s="9" t="s">
        <v>79</v>
      </c>
      <c r="C254" s="9" t="s">
        <v>53</v>
      </c>
      <c r="D254" s="9" t="s">
        <v>88</v>
      </c>
      <c r="E254" s="9">
        <v>2002</v>
      </c>
      <c r="F254" s="9">
        <v>2004</v>
      </c>
      <c r="G254" s="9">
        <v>2</v>
      </c>
      <c r="H254" s="9">
        <v>1509.08</v>
      </c>
      <c r="I254" s="9">
        <v>54992.639999999999</v>
      </c>
      <c r="J254" s="9"/>
      <c r="K254" s="9"/>
      <c r="L254" s="9">
        <v>14.19</v>
      </c>
      <c r="M254" s="9">
        <v>56515.92</v>
      </c>
      <c r="N254" s="9">
        <v>2.67</v>
      </c>
      <c r="O254" s="9">
        <v>1530.87</v>
      </c>
      <c r="P254" s="9" t="s">
        <v>41</v>
      </c>
      <c r="Q254" s="9">
        <v>0.46350000000000002</v>
      </c>
      <c r="R254" s="9">
        <v>14.19</v>
      </c>
      <c r="S254" s="9" t="s">
        <v>89</v>
      </c>
      <c r="T254" s="9" t="s">
        <v>157</v>
      </c>
      <c r="U254" s="9" t="b">
        <v>0</v>
      </c>
    </row>
    <row r="255" spans="1:21" x14ac:dyDescent="0.25">
      <c r="A255" s="9">
        <v>5665</v>
      </c>
      <c r="B255" s="9" t="s">
        <v>79</v>
      </c>
      <c r="C255" s="9" t="s">
        <v>53</v>
      </c>
      <c r="D255" s="9" t="s">
        <v>90</v>
      </c>
      <c r="E255" s="9">
        <v>2004</v>
      </c>
      <c r="F255" s="9">
        <v>2006</v>
      </c>
      <c r="G255" s="9">
        <v>2</v>
      </c>
      <c r="H255" s="9">
        <v>1479.7</v>
      </c>
      <c r="I255" s="9">
        <v>54999.06</v>
      </c>
      <c r="J255" s="9">
        <v>8.9600000000000009</v>
      </c>
      <c r="K255" s="9">
        <v>1.79</v>
      </c>
      <c r="L255" s="9">
        <v>26.41</v>
      </c>
      <c r="M255" s="9">
        <v>56514.13</v>
      </c>
      <c r="N255" s="9">
        <v>2.62</v>
      </c>
      <c r="O255" s="9">
        <v>1509.08</v>
      </c>
      <c r="P255" s="9" t="s">
        <v>88</v>
      </c>
      <c r="Q255" s="9">
        <v>0.87519999999999998</v>
      </c>
      <c r="R255" s="9">
        <v>17.46</v>
      </c>
      <c r="S255" s="9" t="s">
        <v>89</v>
      </c>
      <c r="T255" s="9" t="s">
        <v>157</v>
      </c>
      <c r="U255" s="9" t="b">
        <v>0</v>
      </c>
    </row>
    <row r="256" spans="1:21" x14ac:dyDescent="0.25">
      <c r="A256" s="9">
        <v>5665</v>
      </c>
      <c r="B256" s="9" t="s">
        <v>79</v>
      </c>
      <c r="C256" s="9" t="s">
        <v>53</v>
      </c>
      <c r="D256" s="9" t="s">
        <v>91</v>
      </c>
      <c r="E256" s="9">
        <v>2006</v>
      </c>
      <c r="F256" s="9">
        <v>2008</v>
      </c>
      <c r="G256" s="9">
        <v>2</v>
      </c>
      <c r="H256" s="9">
        <v>1470.54</v>
      </c>
      <c r="I256" s="9">
        <v>55037.65</v>
      </c>
      <c r="J256" s="9"/>
      <c r="K256" s="9">
        <v>0.38</v>
      </c>
      <c r="L256" s="9">
        <v>7.36</v>
      </c>
      <c r="M256" s="9">
        <v>56515.55</v>
      </c>
      <c r="N256" s="9">
        <v>2.6</v>
      </c>
      <c r="O256" s="9">
        <v>1479.7</v>
      </c>
      <c r="P256" s="9" t="s">
        <v>90</v>
      </c>
      <c r="Q256" s="9">
        <v>0.2487</v>
      </c>
      <c r="R256" s="9">
        <v>7.36</v>
      </c>
      <c r="S256" s="9" t="s">
        <v>89</v>
      </c>
      <c r="T256" s="9" t="s">
        <v>157</v>
      </c>
      <c r="U256" s="9" t="b">
        <v>0</v>
      </c>
    </row>
    <row r="257" spans="1:21" x14ac:dyDescent="0.25">
      <c r="A257" s="9">
        <v>5665</v>
      </c>
      <c r="B257" s="9" t="s">
        <v>79</v>
      </c>
      <c r="C257" s="9" t="s">
        <v>53</v>
      </c>
      <c r="D257" s="9" t="s">
        <v>92</v>
      </c>
      <c r="E257" s="9">
        <v>2008</v>
      </c>
      <c r="F257" s="9">
        <v>2010</v>
      </c>
      <c r="G257" s="9">
        <v>2</v>
      </c>
      <c r="H257" s="9">
        <v>1443.83</v>
      </c>
      <c r="I257" s="9">
        <v>55045.7</v>
      </c>
      <c r="J257" s="9"/>
      <c r="K257" s="9">
        <v>2.41</v>
      </c>
      <c r="L257" s="9">
        <v>23.96</v>
      </c>
      <c r="M257" s="9">
        <v>56513.49</v>
      </c>
      <c r="N257" s="9">
        <v>2.5499999999999998</v>
      </c>
      <c r="O257" s="9">
        <v>1470.54</v>
      </c>
      <c r="P257" s="9" t="s">
        <v>91</v>
      </c>
      <c r="Q257" s="9">
        <v>0.81459999999999999</v>
      </c>
      <c r="R257" s="9">
        <v>23.96</v>
      </c>
      <c r="S257" s="9" t="s">
        <v>89</v>
      </c>
      <c r="T257" s="9" t="s">
        <v>157</v>
      </c>
      <c r="U257" s="9" t="b">
        <v>0</v>
      </c>
    </row>
    <row r="258" spans="1:21" x14ac:dyDescent="0.25">
      <c r="A258" s="9">
        <v>5665</v>
      </c>
      <c r="B258" s="9" t="s">
        <v>79</v>
      </c>
      <c r="C258" s="9" t="s">
        <v>53</v>
      </c>
      <c r="D258" s="9" t="s">
        <v>93</v>
      </c>
      <c r="E258" s="9">
        <v>2010</v>
      </c>
      <c r="F258" s="9">
        <v>2012</v>
      </c>
      <c r="G258" s="9">
        <v>2</v>
      </c>
      <c r="H258" s="9"/>
      <c r="I258" s="9"/>
      <c r="J258" s="9"/>
      <c r="K258" s="9"/>
      <c r="L258" s="9">
        <v>14.96</v>
      </c>
      <c r="M258" s="9"/>
      <c r="N258" s="9"/>
      <c r="O258" s="9">
        <v>1443.83</v>
      </c>
      <c r="P258" s="9" t="s">
        <v>92</v>
      </c>
      <c r="Q258" s="9">
        <v>0.5181</v>
      </c>
      <c r="R258" s="9">
        <v>14.96</v>
      </c>
      <c r="S258" s="9" t="s">
        <v>94</v>
      </c>
      <c r="T258" s="9" t="s">
        <v>158</v>
      </c>
      <c r="U258" s="9" t="b">
        <v>1</v>
      </c>
    </row>
    <row r="259" spans="1:21" x14ac:dyDescent="0.25">
      <c r="A259" s="9">
        <v>5665</v>
      </c>
      <c r="B259" s="9" t="s">
        <v>79</v>
      </c>
      <c r="C259" s="9" t="s">
        <v>53</v>
      </c>
      <c r="D259" s="9" t="s">
        <v>96</v>
      </c>
      <c r="E259" s="9">
        <v>2012</v>
      </c>
      <c r="F259" s="9">
        <v>2013</v>
      </c>
      <c r="G259" s="9">
        <v>1</v>
      </c>
      <c r="H259" s="9">
        <v>1323.99</v>
      </c>
      <c r="I259" s="9">
        <v>55076.43</v>
      </c>
      <c r="J259" s="9"/>
      <c r="K259" s="9">
        <v>125.12</v>
      </c>
      <c r="L259" s="9">
        <v>5.86</v>
      </c>
      <c r="M259" s="9">
        <v>56406.28</v>
      </c>
      <c r="N259" s="9">
        <v>2.35</v>
      </c>
      <c r="O259" s="9">
        <v>1443.83</v>
      </c>
      <c r="P259" s="9" t="s">
        <v>92</v>
      </c>
      <c r="Q259" s="9">
        <v>0.40560000000000002</v>
      </c>
      <c r="R259" s="9">
        <v>5.86</v>
      </c>
      <c r="S259" s="9" t="s">
        <v>97</v>
      </c>
      <c r="T259" s="9" t="s">
        <v>159</v>
      </c>
      <c r="U259" s="9" t="b">
        <v>0</v>
      </c>
    </row>
    <row r="260" spans="1:21" x14ac:dyDescent="0.25">
      <c r="A260" s="9">
        <v>5665</v>
      </c>
      <c r="B260" s="9" t="s">
        <v>79</v>
      </c>
      <c r="C260" s="9" t="s">
        <v>53</v>
      </c>
      <c r="D260" s="9" t="s">
        <v>98</v>
      </c>
      <c r="E260" s="9">
        <v>2013</v>
      </c>
      <c r="F260" s="9">
        <v>2014</v>
      </c>
      <c r="G260" s="9">
        <v>1</v>
      </c>
      <c r="H260" s="9">
        <v>1367.17</v>
      </c>
      <c r="I260" s="9">
        <v>55184.24</v>
      </c>
      <c r="J260" s="9"/>
      <c r="K260" s="9">
        <v>31.88</v>
      </c>
      <c r="L260" s="9">
        <v>8.31</v>
      </c>
      <c r="M260" s="9">
        <v>56559.72</v>
      </c>
      <c r="N260" s="9">
        <v>2.42</v>
      </c>
      <c r="O260" s="9">
        <v>1323.99</v>
      </c>
      <c r="P260" s="9" t="s">
        <v>96</v>
      </c>
      <c r="Q260" s="9">
        <v>0.62749999999999995</v>
      </c>
      <c r="R260" s="9">
        <v>8.31</v>
      </c>
      <c r="S260" s="9" t="s">
        <v>89</v>
      </c>
      <c r="T260" s="9" t="s">
        <v>157</v>
      </c>
      <c r="U260" s="9" t="b">
        <v>0</v>
      </c>
    </row>
    <row r="261" spans="1:21" x14ac:dyDescent="0.25">
      <c r="A261" s="9">
        <v>5665</v>
      </c>
      <c r="B261" s="9" t="s">
        <v>79</v>
      </c>
      <c r="C261" s="9" t="s">
        <v>53</v>
      </c>
      <c r="D261" s="9" t="s">
        <v>99</v>
      </c>
      <c r="E261" s="9">
        <v>2014</v>
      </c>
      <c r="F261" s="9">
        <v>2015</v>
      </c>
      <c r="G261" s="9">
        <v>1</v>
      </c>
      <c r="H261" s="9">
        <v>1388.28</v>
      </c>
      <c r="I261" s="9">
        <v>55094.57</v>
      </c>
      <c r="J261" s="9"/>
      <c r="K261" s="9">
        <v>23.4</v>
      </c>
      <c r="L261" s="9"/>
      <c r="M261" s="9">
        <v>56482.85</v>
      </c>
      <c r="N261" s="9">
        <v>2.46</v>
      </c>
      <c r="O261" s="9">
        <v>1367.17</v>
      </c>
      <c r="P261" s="9" t="s">
        <v>98</v>
      </c>
      <c r="Q261" s="9"/>
      <c r="R261" s="9">
        <v>0</v>
      </c>
      <c r="S261" s="9" t="s">
        <v>43</v>
      </c>
      <c r="T261" s="9" t="s">
        <v>156</v>
      </c>
      <c r="U261" s="9" t="b">
        <v>0</v>
      </c>
    </row>
    <row r="262" spans="1:21" x14ac:dyDescent="0.25">
      <c r="A262" s="9">
        <v>5665</v>
      </c>
      <c r="B262" s="9" t="s">
        <v>79</v>
      </c>
      <c r="C262" s="9" t="s">
        <v>53</v>
      </c>
      <c r="D262" s="9" t="s">
        <v>100</v>
      </c>
      <c r="E262" s="9">
        <v>2015</v>
      </c>
      <c r="F262" s="9">
        <v>2016</v>
      </c>
      <c r="G262" s="9">
        <v>1</v>
      </c>
      <c r="H262" s="9"/>
      <c r="I262" s="9"/>
      <c r="J262" s="9"/>
      <c r="K262" s="9"/>
      <c r="L262" s="9">
        <v>27.65</v>
      </c>
      <c r="M262" s="9"/>
      <c r="N262" s="9"/>
      <c r="O262" s="9">
        <v>1388.28</v>
      </c>
      <c r="P262" s="9" t="s">
        <v>99</v>
      </c>
      <c r="Q262" s="9">
        <v>1.9917</v>
      </c>
      <c r="R262" s="9">
        <v>27.65</v>
      </c>
      <c r="S262" s="9" t="s">
        <v>160</v>
      </c>
      <c r="T262" s="9" t="s">
        <v>158</v>
      </c>
      <c r="U262" s="9" t="b">
        <v>1</v>
      </c>
    </row>
    <row r="263" spans="1:21" x14ac:dyDescent="0.25">
      <c r="A263" s="9">
        <v>5665</v>
      </c>
      <c r="B263" s="9" t="s">
        <v>79</v>
      </c>
      <c r="C263" s="9" t="s">
        <v>53</v>
      </c>
      <c r="D263" s="9" t="s">
        <v>102</v>
      </c>
      <c r="E263" s="9">
        <v>2016</v>
      </c>
      <c r="F263" s="9">
        <v>2017</v>
      </c>
      <c r="G263" s="9">
        <v>1</v>
      </c>
      <c r="H263" s="9">
        <v>1406.95</v>
      </c>
      <c r="I263" s="9">
        <v>55092.98</v>
      </c>
      <c r="J263" s="9"/>
      <c r="K263" s="9">
        <v>13.09</v>
      </c>
      <c r="L263" s="9">
        <v>2.96</v>
      </c>
      <c r="M263" s="9">
        <v>56502.89</v>
      </c>
      <c r="N263" s="9">
        <v>2.4900000000000002</v>
      </c>
      <c r="O263" s="9">
        <v>1388.28</v>
      </c>
      <c r="P263" s="9" t="s">
        <v>99</v>
      </c>
      <c r="Q263" s="9">
        <v>0.2132</v>
      </c>
      <c r="R263" s="9">
        <v>2.96</v>
      </c>
      <c r="S263" s="9" t="s">
        <v>89</v>
      </c>
      <c r="T263" s="9" t="s">
        <v>157</v>
      </c>
      <c r="U263" s="9" t="b">
        <v>0</v>
      </c>
    </row>
    <row r="264" spans="1:21" x14ac:dyDescent="0.25">
      <c r="A264" s="9">
        <v>5665</v>
      </c>
      <c r="B264" s="9" t="s">
        <v>79</v>
      </c>
      <c r="C264" s="9" t="s">
        <v>53</v>
      </c>
      <c r="D264" s="9" t="s">
        <v>103</v>
      </c>
      <c r="E264" s="9">
        <v>2017</v>
      </c>
      <c r="F264" s="9">
        <v>2018</v>
      </c>
      <c r="G264" s="9">
        <v>1</v>
      </c>
      <c r="H264" s="9">
        <v>2447.7600000000002</v>
      </c>
      <c r="I264" s="9">
        <v>54056.29</v>
      </c>
      <c r="J264" s="9">
        <v>1.1100000000000001</v>
      </c>
      <c r="K264" s="9">
        <v>3.79</v>
      </c>
      <c r="L264" s="9">
        <v>6.27</v>
      </c>
      <c r="M264" s="9">
        <v>56511.44</v>
      </c>
      <c r="N264" s="9">
        <v>4.33</v>
      </c>
      <c r="O264" s="9">
        <v>1406.95</v>
      </c>
      <c r="P264" s="9" t="s">
        <v>102</v>
      </c>
      <c r="Q264" s="9">
        <v>0.44550000000000001</v>
      </c>
      <c r="R264" s="9">
        <v>5.16</v>
      </c>
      <c r="S264" s="9" t="s">
        <v>89</v>
      </c>
      <c r="T264" s="9" t="s">
        <v>157</v>
      </c>
      <c r="U264" s="9" t="b">
        <v>0</v>
      </c>
    </row>
    <row r="265" spans="1:21" x14ac:dyDescent="0.25">
      <c r="A265" s="9">
        <v>5665</v>
      </c>
      <c r="B265" s="9" t="s">
        <v>79</v>
      </c>
      <c r="C265" s="9" t="s">
        <v>53</v>
      </c>
      <c r="D265" s="9" t="s">
        <v>104</v>
      </c>
      <c r="E265" s="9">
        <v>2018</v>
      </c>
      <c r="F265" s="9">
        <v>2019</v>
      </c>
      <c r="G265" s="9">
        <v>1</v>
      </c>
      <c r="H265" s="9"/>
      <c r="I265" s="9"/>
      <c r="J265" s="9"/>
      <c r="K265" s="9"/>
      <c r="L265" s="9">
        <v>13.44</v>
      </c>
      <c r="M265" s="9"/>
      <c r="N265" s="9"/>
      <c r="O265" s="9">
        <v>2447.7600000000002</v>
      </c>
      <c r="P265" s="9" t="s">
        <v>103</v>
      </c>
      <c r="Q265" s="9">
        <v>0.54910000000000003</v>
      </c>
      <c r="R265" s="9">
        <v>13.44</v>
      </c>
      <c r="S265" s="9" t="s">
        <v>105</v>
      </c>
      <c r="T265" s="9" t="s">
        <v>158</v>
      </c>
      <c r="U265" s="9" t="b">
        <v>1</v>
      </c>
    </row>
    <row r="266" spans="1:21" x14ac:dyDescent="0.25">
      <c r="A266" s="9">
        <v>5665</v>
      </c>
      <c r="B266" s="9" t="s">
        <v>79</v>
      </c>
      <c r="C266" s="9" t="s">
        <v>53</v>
      </c>
      <c r="D266" s="9" t="s">
        <v>106</v>
      </c>
      <c r="E266" s="9">
        <v>2019</v>
      </c>
      <c r="F266" s="9">
        <v>2020</v>
      </c>
      <c r="G266" s="9">
        <v>1</v>
      </c>
      <c r="H266" s="9">
        <v>2362.36</v>
      </c>
      <c r="I266" s="9">
        <v>54112.75</v>
      </c>
      <c r="J266" s="9"/>
      <c r="K266" s="9">
        <v>19.670000000000002</v>
      </c>
      <c r="L266" s="9">
        <v>20.62</v>
      </c>
      <c r="M266" s="9">
        <v>56495.73</v>
      </c>
      <c r="N266" s="9">
        <v>4.18</v>
      </c>
      <c r="O266" s="9">
        <v>2447.7600000000002</v>
      </c>
      <c r="P266" s="9" t="s">
        <v>103</v>
      </c>
      <c r="Q266" s="9">
        <v>0.84240000000000004</v>
      </c>
      <c r="R266" s="9">
        <v>20.62</v>
      </c>
      <c r="S266" s="9" t="s">
        <v>89</v>
      </c>
      <c r="T266" s="9" t="s">
        <v>157</v>
      </c>
      <c r="U266" s="9" t="b">
        <v>0</v>
      </c>
    </row>
    <row r="267" spans="1:21" x14ac:dyDescent="0.25">
      <c r="A267" s="9">
        <v>5665</v>
      </c>
      <c r="B267" s="9" t="s">
        <v>79</v>
      </c>
      <c r="C267" s="9" t="s">
        <v>53</v>
      </c>
      <c r="D267" s="9" t="s">
        <v>107</v>
      </c>
      <c r="E267" s="9">
        <v>2020</v>
      </c>
      <c r="F267" s="9">
        <v>2021</v>
      </c>
      <c r="G267" s="9">
        <v>1</v>
      </c>
      <c r="H267" s="9">
        <v>2355.33</v>
      </c>
      <c r="I267" s="9">
        <v>54154.07</v>
      </c>
      <c r="J267" s="9"/>
      <c r="K267" s="9"/>
      <c r="L267" s="9">
        <v>5.97</v>
      </c>
      <c r="M267" s="9">
        <v>56515.37</v>
      </c>
      <c r="N267" s="9">
        <v>4.17</v>
      </c>
      <c r="O267" s="9">
        <v>2362.36</v>
      </c>
      <c r="P267" s="9" t="s">
        <v>106</v>
      </c>
      <c r="Q267" s="9">
        <v>0.25280000000000002</v>
      </c>
      <c r="R267" s="9">
        <v>5.97</v>
      </c>
      <c r="S267" s="9" t="s">
        <v>89</v>
      </c>
      <c r="T267" s="9" t="s">
        <v>157</v>
      </c>
      <c r="U267" s="9" t="b">
        <v>0</v>
      </c>
    </row>
    <row r="268" spans="1:21" x14ac:dyDescent="0.25">
      <c r="A268" s="9">
        <v>5665</v>
      </c>
      <c r="B268" s="9" t="s">
        <v>79</v>
      </c>
      <c r="C268" s="9" t="s">
        <v>53</v>
      </c>
      <c r="D268" s="9" t="s">
        <v>108</v>
      </c>
      <c r="E268" s="9">
        <v>2021</v>
      </c>
      <c r="F268" s="9">
        <v>2022</v>
      </c>
      <c r="G268" s="9">
        <v>1</v>
      </c>
      <c r="H268" s="9">
        <v>2349.14</v>
      </c>
      <c r="I268" s="9">
        <v>54157.46</v>
      </c>
      <c r="J268" s="9"/>
      <c r="K268" s="9"/>
      <c r="L268" s="9">
        <v>8.85</v>
      </c>
      <c r="M268" s="9">
        <v>56515.45</v>
      </c>
      <c r="N268" s="9">
        <v>4.16</v>
      </c>
      <c r="O268" s="9">
        <v>2355.33</v>
      </c>
      <c r="P268" s="9" t="s">
        <v>107</v>
      </c>
      <c r="Q268" s="9">
        <v>0.37580000000000002</v>
      </c>
      <c r="R268" s="9">
        <v>8.85</v>
      </c>
      <c r="S268" s="9" t="s">
        <v>89</v>
      </c>
      <c r="T268" s="9" t="s">
        <v>157</v>
      </c>
      <c r="U268" s="9" t="b">
        <v>0</v>
      </c>
    </row>
    <row r="269" spans="1:21" x14ac:dyDescent="0.25">
      <c r="A269" s="9">
        <v>5665</v>
      </c>
      <c r="B269" s="9" t="s">
        <v>79</v>
      </c>
      <c r="C269" s="9" t="s">
        <v>53</v>
      </c>
      <c r="D269" s="9" t="s">
        <v>109</v>
      </c>
      <c r="E269" s="9">
        <v>2022</v>
      </c>
      <c r="F269" s="9">
        <v>2023</v>
      </c>
      <c r="G269" s="9">
        <v>1</v>
      </c>
      <c r="H269" s="9">
        <v>2219.9299999999998</v>
      </c>
      <c r="I269" s="9">
        <v>54330.97</v>
      </c>
      <c r="J269" s="9"/>
      <c r="K269" s="9"/>
      <c r="L269" s="9">
        <v>13.55</v>
      </c>
      <c r="M269" s="9">
        <v>56564.45</v>
      </c>
      <c r="N269" s="9">
        <v>3.92</v>
      </c>
      <c r="O269" s="9">
        <v>2349.14</v>
      </c>
      <c r="P269" s="9" t="s">
        <v>108</v>
      </c>
      <c r="Q269" s="9">
        <v>0.57679999999999998</v>
      </c>
      <c r="R269" s="9">
        <v>13.55</v>
      </c>
      <c r="S269" s="9" t="s">
        <v>89</v>
      </c>
      <c r="T269" s="9" t="s">
        <v>157</v>
      </c>
      <c r="U269" s="9" t="b">
        <v>0</v>
      </c>
    </row>
    <row r="270" spans="1:21" x14ac:dyDescent="0.25">
      <c r="A270" s="9">
        <v>5665</v>
      </c>
      <c r="B270" s="9" t="s">
        <v>79</v>
      </c>
      <c r="C270" s="9" t="s">
        <v>53</v>
      </c>
      <c r="D270" s="9" t="s">
        <v>110</v>
      </c>
      <c r="E270" s="9">
        <v>2023</v>
      </c>
      <c r="F270" s="9">
        <v>2024</v>
      </c>
      <c r="G270" s="9">
        <v>1</v>
      </c>
      <c r="H270" s="9"/>
      <c r="I270" s="9"/>
      <c r="J270" s="9"/>
      <c r="K270" s="9"/>
      <c r="L270" s="9">
        <v>17.03</v>
      </c>
      <c r="M270" s="9"/>
      <c r="N270" s="9"/>
      <c r="O270" s="9">
        <v>2219.9299999999998</v>
      </c>
      <c r="P270" s="9" t="s">
        <v>109</v>
      </c>
      <c r="Q270" s="9">
        <v>0.7671</v>
      </c>
      <c r="R270" s="9">
        <v>17.03</v>
      </c>
      <c r="S270" s="9" t="s">
        <v>105</v>
      </c>
      <c r="T270" s="9" t="s">
        <v>158</v>
      </c>
      <c r="U270" s="9" t="b">
        <v>1</v>
      </c>
    </row>
    <row r="271" spans="1:21" x14ac:dyDescent="0.25">
      <c r="A271" s="9">
        <v>5837</v>
      </c>
      <c r="B271" s="9" t="s">
        <v>81</v>
      </c>
      <c r="C271" s="9" t="s">
        <v>49</v>
      </c>
      <c r="D271" s="9" t="s">
        <v>41</v>
      </c>
      <c r="E271" s="9">
        <v>2000</v>
      </c>
      <c r="F271" s="9">
        <v>2002</v>
      </c>
      <c r="G271" s="9">
        <v>2</v>
      </c>
      <c r="H271" s="9">
        <v>74841.490000000005</v>
      </c>
      <c r="I271" s="9">
        <v>214333.41</v>
      </c>
      <c r="J271" s="9"/>
      <c r="K271" s="9">
        <v>51.32</v>
      </c>
      <c r="L271" s="9">
        <v>153.08000000000001</v>
      </c>
      <c r="M271" s="9">
        <v>289327.96999999997</v>
      </c>
      <c r="N271" s="9">
        <v>25.87</v>
      </c>
      <c r="O271" s="9"/>
      <c r="P271" s="9"/>
      <c r="Q271" s="9"/>
      <c r="R271" s="9">
        <v>153.08000000000001</v>
      </c>
      <c r="S271" s="9" t="s">
        <v>43</v>
      </c>
      <c r="T271" s="9" t="s">
        <v>156</v>
      </c>
      <c r="U271" s="9" t="b">
        <v>0</v>
      </c>
    </row>
    <row r="272" spans="1:21" x14ac:dyDescent="0.25">
      <c r="A272" s="9">
        <v>5837</v>
      </c>
      <c r="B272" s="9" t="s">
        <v>81</v>
      </c>
      <c r="C272" s="9" t="s">
        <v>49</v>
      </c>
      <c r="D272" s="9" t="s">
        <v>88</v>
      </c>
      <c r="E272" s="9">
        <v>2002</v>
      </c>
      <c r="F272" s="9">
        <v>2004</v>
      </c>
      <c r="G272" s="9">
        <v>2</v>
      </c>
      <c r="H272" s="9">
        <v>72753.039999999994</v>
      </c>
      <c r="I272" s="9">
        <v>214497.68</v>
      </c>
      <c r="J272" s="9"/>
      <c r="K272" s="9">
        <v>165.24</v>
      </c>
      <c r="L272" s="9">
        <v>1231.42</v>
      </c>
      <c r="M272" s="9">
        <v>288482.14</v>
      </c>
      <c r="N272" s="9">
        <v>25.22</v>
      </c>
      <c r="O272" s="9">
        <v>74841.490000000005</v>
      </c>
      <c r="P272" s="9" t="s">
        <v>41</v>
      </c>
      <c r="Q272" s="9">
        <v>0.82269999999999999</v>
      </c>
      <c r="R272" s="9">
        <v>1231.42</v>
      </c>
      <c r="S272" s="9" t="s">
        <v>89</v>
      </c>
      <c r="T272" s="9" t="s">
        <v>157</v>
      </c>
      <c r="U272" s="9" t="b">
        <v>0</v>
      </c>
    </row>
    <row r="273" spans="1:21" x14ac:dyDescent="0.25">
      <c r="A273" s="9">
        <v>5837</v>
      </c>
      <c r="B273" s="9" t="s">
        <v>81</v>
      </c>
      <c r="C273" s="9" t="s">
        <v>49</v>
      </c>
      <c r="D273" s="9" t="s">
        <v>90</v>
      </c>
      <c r="E273" s="9">
        <v>2004</v>
      </c>
      <c r="F273" s="9">
        <v>2006</v>
      </c>
      <c r="G273" s="9">
        <v>2</v>
      </c>
      <c r="H273" s="9">
        <v>71695.41</v>
      </c>
      <c r="I273" s="9">
        <v>215977.5</v>
      </c>
      <c r="J273" s="9">
        <v>2.68</v>
      </c>
      <c r="K273" s="9">
        <v>164.35</v>
      </c>
      <c r="L273" s="9">
        <v>807.8</v>
      </c>
      <c r="M273" s="9">
        <v>288483.39</v>
      </c>
      <c r="N273" s="9">
        <v>24.85</v>
      </c>
      <c r="O273" s="9">
        <v>72753.039999999994</v>
      </c>
      <c r="P273" s="9" t="s">
        <v>88</v>
      </c>
      <c r="Q273" s="9">
        <v>0.55520000000000003</v>
      </c>
      <c r="R273" s="9">
        <v>805.12</v>
      </c>
      <c r="S273" s="9" t="s">
        <v>89</v>
      </c>
      <c r="T273" s="9" t="s">
        <v>157</v>
      </c>
      <c r="U273" s="9" t="b">
        <v>0</v>
      </c>
    </row>
    <row r="274" spans="1:21" x14ac:dyDescent="0.25">
      <c r="A274" s="9">
        <v>5837</v>
      </c>
      <c r="B274" s="9" t="s">
        <v>81</v>
      </c>
      <c r="C274" s="9" t="s">
        <v>49</v>
      </c>
      <c r="D274" s="9" t="s">
        <v>91</v>
      </c>
      <c r="E274" s="9">
        <v>2006</v>
      </c>
      <c r="F274" s="9">
        <v>2008</v>
      </c>
      <c r="G274" s="9">
        <v>2</v>
      </c>
      <c r="H274" s="9">
        <v>70633.600000000006</v>
      </c>
      <c r="I274" s="9">
        <v>217200.47</v>
      </c>
      <c r="J274" s="9"/>
      <c r="K274" s="9">
        <v>102.35</v>
      </c>
      <c r="L274" s="9">
        <v>711.28</v>
      </c>
      <c r="M274" s="9">
        <v>288545.34999999998</v>
      </c>
      <c r="N274" s="9">
        <v>24.48</v>
      </c>
      <c r="O274" s="9">
        <v>71695.41</v>
      </c>
      <c r="P274" s="9" t="s">
        <v>90</v>
      </c>
      <c r="Q274" s="9">
        <v>0.496</v>
      </c>
      <c r="R274" s="9">
        <v>711.28</v>
      </c>
      <c r="S274" s="9" t="s">
        <v>89</v>
      </c>
      <c r="T274" s="9" t="s">
        <v>157</v>
      </c>
      <c r="U274" s="9" t="b">
        <v>0</v>
      </c>
    </row>
    <row r="275" spans="1:21" x14ac:dyDescent="0.25">
      <c r="A275" s="9">
        <v>5837</v>
      </c>
      <c r="B275" s="9" t="s">
        <v>81</v>
      </c>
      <c r="C275" s="9" t="s">
        <v>49</v>
      </c>
      <c r="D275" s="9" t="s">
        <v>92</v>
      </c>
      <c r="E275" s="9">
        <v>2008</v>
      </c>
      <c r="F275" s="9">
        <v>2010</v>
      </c>
      <c r="G275" s="9">
        <v>2</v>
      </c>
      <c r="H275" s="9">
        <v>69595.929999999993</v>
      </c>
      <c r="I275" s="9">
        <v>217377.54</v>
      </c>
      <c r="J275" s="9"/>
      <c r="K275" s="9">
        <v>950.31</v>
      </c>
      <c r="L275" s="9">
        <v>724.5</v>
      </c>
      <c r="M275" s="9">
        <v>287697.98</v>
      </c>
      <c r="N275" s="9">
        <v>24.19</v>
      </c>
      <c r="O275" s="9">
        <v>70633.600000000006</v>
      </c>
      <c r="P275" s="9" t="s">
        <v>91</v>
      </c>
      <c r="Q275" s="9">
        <v>0.51290000000000002</v>
      </c>
      <c r="R275" s="9">
        <v>724.5</v>
      </c>
      <c r="S275" s="9" t="s">
        <v>89</v>
      </c>
      <c r="T275" s="9" t="s">
        <v>157</v>
      </c>
      <c r="U275" s="9" t="b">
        <v>0</v>
      </c>
    </row>
    <row r="276" spans="1:21" x14ac:dyDescent="0.25">
      <c r="A276" s="9">
        <v>5837</v>
      </c>
      <c r="B276" s="9" t="s">
        <v>81</v>
      </c>
      <c r="C276" s="9" t="s">
        <v>49</v>
      </c>
      <c r="D276" s="9" t="s">
        <v>93</v>
      </c>
      <c r="E276" s="9">
        <v>2010</v>
      </c>
      <c r="F276" s="9">
        <v>2012</v>
      </c>
      <c r="G276" s="9">
        <v>2</v>
      </c>
      <c r="H276" s="9"/>
      <c r="I276" s="9"/>
      <c r="J276" s="9"/>
      <c r="K276" s="9"/>
      <c r="L276" s="9">
        <v>773.75</v>
      </c>
      <c r="M276" s="9"/>
      <c r="N276" s="9"/>
      <c r="O276" s="9">
        <v>69595.929999999993</v>
      </c>
      <c r="P276" s="9" t="s">
        <v>92</v>
      </c>
      <c r="Q276" s="9">
        <v>0.55589999999999995</v>
      </c>
      <c r="R276" s="9">
        <v>773.75</v>
      </c>
      <c r="S276" s="9" t="s">
        <v>94</v>
      </c>
      <c r="T276" s="9" t="s">
        <v>158</v>
      </c>
      <c r="U276" s="9" t="b">
        <v>1</v>
      </c>
    </row>
    <row r="277" spans="1:21" x14ac:dyDescent="0.25">
      <c r="A277" s="9">
        <v>5837</v>
      </c>
      <c r="B277" s="9" t="s">
        <v>81</v>
      </c>
      <c r="C277" s="9" t="s">
        <v>49</v>
      </c>
      <c r="D277" s="9" t="s">
        <v>96</v>
      </c>
      <c r="E277" s="9">
        <v>2012</v>
      </c>
      <c r="F277" s="9">
        <v>2013</v>
      </c>
      <c r="G277" s="9">
        <v>1</v>
      </c>
      <c r="H277" s="9">
        <v>65529.46</v>
      </c>
      <c r="I277" s="9">
        <v>219715.27</v>
      </c>
      <c r="J277" s="9"/>
      <c r="K277" s="9">
        <v>3306.02</v>
      </c>
      <c r="L277" s="9">
        <v>560.35</v>
      </c>
      <c r="M277" s="9">
        <v>285805.08</v>
      </c>
      <c r="N277" s="9">
        <v>22.93</v>
      </c>
      <c r="O277" s="9">
        <v>69595.929999999993</v>
      </c>
      <c r="P277" s="9" t="s">
        <v>92</v>
      </c>
      <c r="Q277" s="9">
        <v>0.80510000000000004</v>
      </c>
      <c r="R277" s="9">
        <v>560.35</v>
      </c>
      <c r="S277" s="9" t="s">
        <v>97</v>
      </c>
      <c r="T277" s="9" t="s">
        <v>159</v>
      </c>
      <c r="U277" s="9" t="b">
        <v>0</v>
      </c>
    </row>
    <row r="278" spans="1:21" x14ac:dyDescent="0.25">
      <c r="A278" s="9">
        <v>5837</v>
      </c>
      <c r="B278" s="9" t="s">
        <v>81</v>
      </c>
      <c r="C278" s="9" t="s">
        <v>49</v>
      </c>
      <c r="D278" s="9" t="s">
        <v>98</v>
      </c>
      <c r="E278" s="9">
        <v>2013</v>
      </c>
      <c r="F278" s="9">
        <v>2014</v>
      </c>
      <c r="G278" s="9">
        <v>1</v>
      </c>
      <c r="H278" s="9">
        <v>64372.97</v>
      </c>
      <c r="I278" s="9">
        <v>221809.16</v>
      </c>
      <c r="J278" s="9"/>
      <c r="K278" s="9">
        <v>1923.01</v>
      </c>
      <c r="L278" s="9">
        <v>1142.4100000000001</v>
      </c>
      <c r="M278" s="9">
        <v>287324.53999999998</v>
      </c>
      <c r="N278" s="9">
        <v>22.4</v>
      </c>
      <c r="O278" s="9">
        <v>65529.46</v>
      </c>
      <c r="P278" s="9" t="s">
        <v>96</v>
      </c>
      <c r="Q278" s="9">
        <v>1.7434000000000001</v>
      </c>
      <c r="R278" s="9">
        <v>1142.4100000000001</v>
      </c>
      <c r="S278" s="9" t="s">
        <v>89</v>
      </c>
      <c r="T278" s="9" t="s">
        <v>157</v>
      </c>
      <c r="U278" s="9" t="b">
        <v>0</v>
      </c>
    </row>
    <row r="279" spans="1:21" x14ac:dyDescent="0.25">
      <c r="A279" s="9">
        <v>5837</v>
      </c>
      <c r="B279" s="9" t="s">
        <v>81</v>
      </c>
      <c r="C279" s="9" t="s">
        <v>49</v>
      </c>
      <c r="D279" s="9" t="s">
        <v>99</v>
      </c>
      <c r="E279" s="9">
        <v>2014</v>
      </c>
      <c r="F279" s="9">
        <v>2015</v>
      </c>
      <c r="G279" s="9">
        <v>1</v>
      </c>
      <c r="H279" s="9">
        <v>64446.85</v>
      </c>
      <c r="I279" s="9">
        <v>221367.83</v>
      </c>
      <c r="J279" s="9"/>
      <c r="K279" s="9">
        <v>1050.69</v>
      </c>
      <c r="L279" s="9">
        <v>1770.9</v>
      </c>
      <c r="M279" s="9">
        <v>287585.57</v>
      </c>
      <c r="N279" s="9">
        <v>22.41</v>
      </c>
      <c r="O279" s="9">
        <v>64372.97</v>
      </c>
      <c r="P279" s="9" t="s">
        <v>98</v>
      </c>
      <c r="Q279" s="9">
        <v>2.7509999999999999</v>
      </c>
      <c r="R279" s="9">
        <v>1770.9</v>
      </c>
      <c r="S279" s="9" t="s">
        <v>43</v>
      </c>
      <c r="T279" s="9" t="s">
        <v>156</v>
      </c>
      <c r="U279" s="9" t="b">
        <v>0</v>
      </c>
    </row>
    <row r="280" spans="1:21" x14ac:dyDescent="0.25">
      <c r="A280" s="9">
        <v>5837</v>
      </c>
      <c r="B280" s="9" t="s">
        <v>81</v>
      </c>
      <c r="C280" s="9" t="s">
        <v>49</v>
      </c>
      <c r="D280" s="9" t="s">
        <v>100</v>
      </c>
      <c r="E280" s="9">
        <v>2015</v>
      </c>
      <c r="F280" s="9">
        <v>2016</v>
      </c>
      <c r="G280" s="9">
        <v>1</v>
      </c>
      <c r="H280" s="9"/>
      <c r="I280" s="9"/>
      <c r="J280" s="9"/>
      <c r="K280" s="9"/>
      <c r="L280" s="9">
        <v>2744.46</v>
      </c>
      <c r="M280" s="9"/>
      <c r="N280" s="9"/>
      <c r="O280" s="9">
        <v>64446.85</v>
      </c>
      <c r="P280" s="9" t="s">
        <v>99</v>
      </c>
      <c r="Q280" s="9">
        <v>4.2584999999999997</v>
      </c>
      <c r="R280" s="9">
        <v>2744.46</v>
      </c>
      <c r="S280" s="9" t="s">
        <v>160</v>
      </c>
      <c r="T280" s="9" t="s">
        <v>158</v>
      </c>
      <c r="U280" s="9" t="b">
        <v>1</v>
      </c>
    </row>
    <row r="281" spans="1:21" x14ac:dyDescent="0.25">
      <c r="A281" s="9">
        <v>5837</v>
      </c>
      <c r="B281" s="9" t="s">
        <v>81</v>
      </c>
      <c r="C281" s="9" t="s">
        <v>49</v>
      </c>
      <c r="D281" s="9" t="s">
        <v>102</v>
      </c>
      <c r="E281" s="9">
        <v>2016</v>
      </c>
      <c r="F281" s="9">
        <v>2017</v>
      </c>
      <c r="G281" s="9">
        <v>1</v>
      </c>
      <c r="H281" s="9">
        <v>61093.440000000002</v>
      </c>
      <c r="I281" s="9">
        <v>226104.46</v>
      </c>
      <c r="J281" s="9">
        <v>43.59</v>
      </c>
      <c r="K281" s="9">
        <v>675.16</v>
      </c>
      <c r="L281" s="9">
        <v>734.38</v>
      </c>
      <c r="M281" s="9">
        <v>287975.87</v>
      </c>
      <c r="N281" s="9">
        <v>21.21</v>
      </c>
      <c r="O281" s="9">
        <v>64446.85</v>
      </c>
      <c r="P281" s="9" t="s">
        <v>99</v>
      </c>
      <c r="Q281" s="9">
        <v>1.1395</v>
      </c>
      <c r="R281" s="9">
        <v>690.78</v>
      </c>
      <c r="S281" s="9" t="s">
        <v>89</v>
      </c>
      <c r="T281" s="9" t="s">
        <v>157</v>
      </c>
      <c r="U281" s="9" t="b">
        <v>0</v>
      </c>
    </row>
    <row r="282" spans="1:21" x14ac:dyDescent="0.25">
      <c r="A282" s="9">
        <v>5837</v>
      </c>
      <c r="B282" s="9" t="s">
        <v>81</v>
      </c>
      <c r="C282" s="9" t="s">
        <v>49</v>
      </c>
      <c r="D282" s="9" t="s">
        <v>103</v>
      </c>
      <c r="E282" s="9">
        <v>2017</v>
      </c>
      <c r="F282" s="9">
        <v>2018</v>
      </c>
      <c r="G282" s="9">
        <v>1</v>
      </c>
      <c r="H282" s="9">
        <v>58859.78</v>
      </c>
      <c r="I282" s="9">
        <v>229452.93</v>
      </c>
      <c r="J282" s="9"/>
      <c r="K282" s="9">
        <v>28.63</v>
      </c>
      <c r="L282" s="9">
        <v>311.10000000000002</v>
      </c>
      <c r="M282" s="9">
        <v>288623.81</v>
      </c>
      <c r="N282" s="9">
        <v>20.39</v>
      </c>
      <c r="O282" s="9">
        <v>61093.440000000002</v>
      </c>
      <c r="P282" s="9" t="s">
        <v>102</v>
      </c>
      <c r="Q282" s="9">
        <v>0.50919999999999999</v>
      </c>
      <c r="R282" s="9">
        <v>311.10000000000002</v>
      </c>
      <c r="S282" s="9" t="s">
        <v>89</v>
      </c>
      <c r="T282" s="9" t="s">
        <v>157</v>
      </c>
      <c r="U282" s="9" t="b">
        <v>0</v>
      </c>
    </row>
    <row r="283" spans="1:21" x14ac:dyDescent="0.25">
      <c r="A283" s="9">
        <v>5837</v>
      </c>
      <c r="B283" s="9" t="s">
        <v>81</v>
      </c>
      <c r="C283" s="9" t="s">
        <v>49</v>
      </c>
      <c r="D283" s="9" t="s">
        <v>104</v>
      </c>
      <c r="E283" s="9">
        <v>2018</v>
      </c>
      <c r="F283" s="9">
        <v>2019</v>
      </c>
      <c r="G283" s="9">
        <v>1</v>
      </c>
      <c r="H283" s="9"/>
      <c r="I283" s="9"/>
      <c r="J283" s="9"/>
      <c r="K283" s="9"/>
      <c r="L283" s="9">
        <v>277.18</v>
      </c>
      <c r="M283" s="9"/>
      <c r="N283" s="9"/>
      <c r="O283" s="9">
        <v>58859.78</v>
      </c>
      <c r="P283" s="9" t="s">
        <v>103</v>
      </c>
      <c r="Q283" s="9">
        <v>0.47089999999999999</v>
      </c>
      <c r="R283" s="9">
        <v>277.18</v>
      </c>
      <c r="S283" s="9" t="s">
        <v>105</v>
      </c>
      <c r="T283" s="9" t="s">
        <v>158</v>
      </c>
      <c r="U283" s="9" t="b">
        <v>1</v>
      </c>
    </row>
    <row r="284" spans="1:21" x14ac:dyDescent="0.25">
      <c r="A284" s="9">
        <v>5837</v>
      </c>
      <c r="B284" s="9" t="s">
        <v>81</v>
      </c>
      <c r="C284" s="9" t="s">
        <v>49</v>
      </c>
      <c r="D284" s="9" t="s">
        <v>106</v>
      </c>
      <c r="E284" s="9">
        <v>2019</v>
      </c>
      <c r="F284" s="9">
        <v>2020</v>
      </c>
      <c r="G284" s="9">
        <v>1</v>
      </c>
      <c r="H284" s="9">
        <v>57995.41</v>
      </c>
      <c r="I284" s="9">
        <v>230404.65</v>
      </c>
      <c r="J284" s="9"/>
      <c r="K284" s="9">
        <v>9.11</v>
      </c>
      <c r="L284" s="9">
        <v>243.25</v>
      </c>
      <c r="M284" s="9">
        <v>288643.31</v>
      </c>
      <c r="N284" s="9">
        <v>20.09</v>
      </c>
      <c r="O284" s="9">
        <v>58859.78</v>
      </c>
      <c r="P284" s="9" t="s">
        <v>103</v>
      </c>
      <c r="Q284" s="9">
        <v>0.4133</v>
      </c>
      <c r="R284" s="9">
        <v>243.25</v>
      </c>
      <c r="S284" s="9" t="s">
        <v>89</v>
      </c>
      <c r="T284" s="9" t="s">
        <v>157</v>
      </c>
      <c r="U284" s="9" t="b">
        <v>0</v>
      </c>
    </row>
    <row r="285" spans="1:21" x14ac:dyDescent="0.25">
      <c r="A285" s="9">
        <v>5837</v>
      </c>
      <c r="B285" s="9" t="s">
        <v>81</v>
      </c>
      <c r="C285" s="9" t="s">
        <v>49</v>
      </c>
      <c r="D285" s="9" t="s">
        <v>107</v>
      </c>
      <c r="E285" s="9">
        <v>2020</v>
      </c>
      <c r="F285" s="9">
        <v>2021</v>
      </c>
      <c r="G285" s="9">
        <v>1</v>
      </c>
      <c r="H285" s="9">
        <v>57914.51</v>
      </c>
      <c r="I285" s="9">
        <v>230660.52</v>
      </c>
      <c r="J285" s="9"/>
      <c r="K285" s="9">
        <v>0.46</v>
      </c>
      <c r="L285" s="9">
        <v>76.98</v>
      </c>
      <c r="M285" s="9">
        <v>288652.01</v>
      </c>
      <c r="N285" s="9">
        <v>20.059999999999999</v>
      </c>
      <c r="O285" s="9">
        <v>57995.41</v>
      </c>
      <c r="P285" s="9" t="s">
        <v>106</v>
      </c>
      <c r="Q285" s="9">
        <v>0.13270000000000001</v>
      </c>
      <c r="R285" s="9">
        <v>76.98</v>
      </c>
      <c r="S285" s="9" t="s">
        <v>89</v>
      </c>
      <c r="T285" s="9" t="s">
        <v>157</v>
      </c>
      <c r="U285" s="9" t="b">
        <v>0</v>
      </c>
    </row>
    <row r="286" spans="1:21" x14ac:dyDescent="0.25">
      <c r="A286" s="9">
        <v>5837</v>
      </c>
      <c r="B286" s="9" t="s">
        <v>81</v>
      </c>
      <c r="C286" s="9" t="s">
        <v>49</v>
      </c>
      <c r="D286" s="9" t="s">
        <v>108</v>
      </c>
      <c r="E286" s="9">
        <v>2021</v>
      </c>
      <c r="F286" s="9">
        <v>2022</v>
      </c>
      <c r="G286" s="9">
        <v>1</v>
      </c>
      <c r="H286" s="9">
        <v>57668.9</v>
      </c>
      <c r="I286" s="9">
        <v>230760.39</v>
      </c>
      <c r="J286" s="9"/>
      <c r="K286" s="9">
        <v>9.91</v>
      </c>
      <c r="L286" s="9">
        <v>212.49</v>
      </c>
      <c r="M286" s="9">
        <v>288641.78000000003</v>
      </c>
      <c r="N286" s="9">
        <v>19.98</v>
      </c>
      <c r="O286" s="9">
        <v>57914.51</v>
      </c>
      <c r="P286" s="9" t="s">
        <v>107</v>
      </c>
      <c r="Q286" s="9">
        <v>0.3669</v>
      </c>
      <c r="R286" s="9">
        <v>212.49</v>
      </c>
      <c r="S286" s="9" t="s">
        <v>89</v>
      </c>
      <c r="T286" s="9" t="s">
        <v>157</v>
      </c>
      <c r="U286" s="9" t="b">
        <v>0</v>
      </c>
    </row>
    <row r="287" spans="1:21" x14ac:dyDescent="0.25">
      <c r="A287" s="9">
        <v>5837</v>
      </c>
      <c r="B287" s="9" t="s">
        <v>81</v>
      </c>
      <c r="C287" s="9" t="s">
        <v>49</v>
      </c>
      <c r="D287" s="9" t="s">
        <v>109</v>
      </c>
      <c r="E287" s="9">
        <v>2022</v>
      </c>
      <c r="F287" s="9">
        <v>2023</v>
      </c>
      <c r="G287" s="9">
        <v>1</v>
      </c>
      <c r="H287" s="9">
        <v>56417.279999999999</v>
      </c>
      <c r="I287" s="9">
        <v>232090.35</v>
      </c>
      <c r="J287" s="9"/>
      <c r="K287" s="9">
        <v>1.65</v>
      </c>
      <c r="L287" s="9">
        <v>143.83000000000001</v>
      </c>
      <c r="M287" s="9">
        <v>288651.46000000002</v>
      </c>
      <c r="N287" s="9">
        <v>19.55</v>
      </c>
      <c r="O287" s="9">
        <v>57668.9</v>
      </c>
      <c r="P287" s="9" t="s">
        <v>108</v>
      </c>
      <c r="Q287" s="9">
        <v>0.24940000000000001</v>
      </c>
      <c r="R287" s="9">
        <v>143.83000000000001</v>
      </c>
      <c r="S287" s="9" t="s">
        <v>89</v>
      </c>
      <c r="T287" s="9" t="s">
        <v>157</v>
      </c>
      <c r="U287" s="9" t="b">
        <v>0</v>
      </c>
    </row>
    <row r="288" spans="1:21" x14ac:dyDescent="0.25">
      <c r="A288" s="9">
        <v>5837</v>
      </c>
      <c r="B288" s="9" t="s">
        <v>81</v>
      </c>
      <c r="C288" s="9" t="s">
        <v>49</v>
      </c>
      <c r="D288" s="9" t="s">
        <v>110</v>
      </c>
      <c r="E288" s="9">
        <v>2023</v>
      </c>
      <c r="F288" s="9">
        <v>2024</v>
      </c>
      <c r="G288" s="9">
        <v>1</v>
      </c>
      <c r="H288" s="9"/>
      <c r="I288" s="9"/>
      <c r="J288" s="9"/>
      <c r="K288" s="9"/>
      <c r="L288" s="9">
        <v>211.29</v>
      </c>
      <c r="M288" s="9"/>
      <c r="N288" s="9"/>
      <c r="O288" s="9">
        <v>56417.279999999999</v>
      </c>
      <c r="P288" s="9" t="s">
        <v>109</v>
      </c>
      <c r="Q288" s="9">
        <v>0.3745</v>
      </c>
      <c r="R288" s="9">
        <v>211.29</v>
      </c>
      <c r="S288" s="9" t="s">
        <v>105</v>
      </c>
      <c r="T288" s="9" t="s">
        <v>158</v>
      </c>
      <c r="U288" s="9" t="b">
        <v>1</v>
      </c>
    </row>
    <row r="289" spans="1:21" x14ac:dyDescent="0.25">
      <c r="A289" s="9">
        <v>5842</v>
      </c>
      <c r="B289" s="9" t="s">
        <v>83</v>
      </c>
      <c r="C289" s="9" t="s">
        <v>40</v>
      </c>
      <c r="D289" s="9" t="s">
        <v>41</v>
      </c>
      <c r="E289" s="9">
        <v>2000</v>
      </c>
      <c r="F289" s="9">
        <v>2002</v>
      </c>
      <c r="G289" s="9">
        <v>2</v>
      </c>
      <c r="H289" s="9">
        <v>4638.42</v>
      </c>
      <c r="I289" s="9">
        <v>21938.28</v>
      </c>
      <c r="J289" s="9"/>
      <c r="K289" s="9"/>
      <c r="L289" s="9">
        <v>17</v>
      </c>
      <c r="M289" s="9">
        <v>26593.7</v>
      </c>
      <c r="N289" s="9">
        <v>17.440000000000001</v>
      </c>
      <c r="O289" s="9"/>
      <c r="P289" s="9"/>
      <c r="Q289" s="9"/>
      <c r="R289" s="9">
        <v>17</v>
      </c>
      <c r="S289" s="9" t="s">
        <v>43</v>
      </c>
      <c r="T289" s="9" t="s">
        <v>156</v>
      </c>
      <c r="U289" s="9" t="b">
        <v>0</v>
      </c>
    </row>
    <row r="290" spans="1:21" x14ac:dyDescent="0.25">
      <c r="A290" s="9">
        <v>5842</v>
      </c>
      <c r="B290" s="9" t="s">
        <v>83</v>
      </c>
      <c r="C290" s="9" t="s">
        <v>40</v>
      </c>
      <c r="D290" s="9" t="s">
        <v>88</v>
      </c>
      <c r="E290" s="9">
        <v>2002</v>
      </c>
      <c r="F290" s="9">
        <v>2004</v>
      </c>
      <c r="G290" s="9">
        <v>2</v>
      </c>
      <c r="H290" s="9">
        <v>4602.72</v>
      </c>
      <c r="I290" s="9">
        <v>21940.240000000002</v>
      </c>
      <c r="J290" s="9"/>
      <c r="K290" s="9"/>
      <c r="L290" s="9">
        <v>21.56</v>
      </c>
      <c r="M290" s="9">
        <v>26564.52</v>
      </c>
      <c r="N290" s="9">
        <v>17.329999999999998</v>
      </c>
      <c r="O290" s="9">
        <v>4638.42</v>
      </c>
      <c r="P290" s="9" t="s">
        <v>41</v>
      </c>
      <c r="Q290" s="9">
        <v>0.2324</v>
      </c>
      <c r="R290" s="9">
        <v>21.56</v>
      </c>
      <c r="S290" s="9" t="s">
        <v>89</v>
      </c>
      <c r="T290" s="9" t="s">
        <v>157</v>
      </c>
      <c r="U290" s="9" t="b">
        <v>0</v>
      </c>
    </row>
    <row r="291" spans="1:21" x14ac:dyDescent="0.25">
      <c r="A291" s="9">
        <v>5842</v>
      </c>
      <c r="B291" s="9" t="s">
        <v>83</v>
      </c>
      <c r="C291" s="9" t="s">
        <v>40</v>
      </c>
      <c r="D291" s="9" t="s">
        <v>90</v>
      </c>
      <c r="E291" s="9">
        <v>2004</v>
      </c>
      <c r="F291" s="9">
        <v>2006</v>
      </c>
      <c r="G291" s="9">
        <v>2</v>
      </c>
      <c r="H291" s="9">
        <v>4592.13</v>
      </c>
      <c r="I291" s="9">
        <v>21966.12</v>
      </c>
      <c r="J291" s="9"/>
      <c r="K291" s="9"/>
      <c r="L291" s="9">
        <v>6.27</v>
      </c>
      <c r="M291" s="9">
        <v>26564.52</v>
      </c>
      <c r="N291" s="9">
        <v>17.29</v>
      </c>
      <c r="O291" s="9">
        <v>4602.72</v>
      </c>
      <c r="P291" s="9" t="s">
        <v>88</v>
      </c>
      <c r="Q291" s="9">
        <v>6.8099999999999994E-2</v>
      </c>
      <c r="R291" s="9">
        <v>6.27</v>
      </c>
      <c r="S291" s="9" t="s">
        <v>89</v>
      </c>
      <c r="T291" s="9" t="s">
        <v>157</v>
      </c>
      <c r="U291" s="9" t="b">
        <v>0</v>
      </c>
    </row>
    <row r="292" spans="1:21" x14ac:dyDescent="0.25">
      <c r="A292" s="9">
        <v>5842</v>
      </c>
      <c r="B292" s="9" t="s">
        <v>83</v>
      </c>
      <c r="C292" s="9" t="s">
        <v>40</v>
      </c>
      <c r="D292" s="9" t="s">
        <v>91</v>
      </c>
      <c r="E292" s="9">
        <v>2006</v>
      </c>
      <c r="F292" s="9">
        <v>2008</v>
      </c>
      <c r="G292" s="9">
        <v>2</v>
      </c>
      <c r="H292" s="9">
        <v>4576.5200000000004</v>
      </c>
      <c r="I292" s="9">
        <v>21973.39</v>
      </c>
      <c r="J292" s="9"/>
      <c r="K292" s="9"/>
      <c r="L292" s="9">
        <v>14.61</v>
      </c>
      <c r="M292" s="9">
        <v>26564.52</v>
      </c>
      <c r="N292" s="9">
        <v>17.23</v>
      </c>
      <c r="O292" s="9">
        <v>4592.13</v>
      </c>
      <c r="P292" s="9" t="s">
        <v>90</v>
      </c>
      <c r="Q292" s="9">
        <v>0.159</v>
      </c>
      <c r="R292" s="9">
        <v>14.61</v>
      </c>
      <c r="S292" s="9" t="s">
        <v>89</v>
      </c>
      <c r="T292" s="9" t="s">
        <v>157</v>
      </c>
      <c r="U292" s="9" t="b">
        <v>0</v>
      </c>
    </row>
    <row r="293" spans="1:21" x14ac:dyDescent="0.25">
      <c r="A293" s="9">
        <v>5842</v>
      </c>
      <c r="B293" s="9" t="s">
        <v>83</v>
      </c>
      <c r="C293" s="9" t="s">
        <v>40</v>
      </c>
      <c r="D293" s="9" t="s">
        <v>92</v>
      </c>
      <c r="E293" s="9">
        <v>2008</v>
      </c>
      <c r="F293" s="9">
        <v>2010</v>
      </c>
      <c r="G293" s="9">
        <v>2</v>
      </c>
      <c r="H293" s="9">
        <v>4638.3599999999997</v>
      </c>
      <c r="I293" s="9">
        <v>21923.54</v>
      </c>
      <c r="J293" s="9"/>
      <c r="K293" s="9"/>
      <c r="L293" s="9">
        <v>2.62</v>
      </c>
      <c r="M293" s="9">
        <v>26564.52</v>
      </c>
      <c r="N293" s="9">
        <v>17.46</v>
      </c>
      <c r="O293" s="9">
        <v>4576.5200000000004</v>
      </c>
      <c r="P293" s="9" t="s">
        <v>91</v>
      </c>
      <c r="Q293" s="9">
        <v>2.86E-2</v>
      </c>
      <c r="R293" s="9">
        <v>2.62</v>
      </c>
      <c r="S293" s="9" t="s">
        <v>89</v>
      </c>
      <c r="T293" s="9" t="s">
        <v>157</v>
      </c>
      <c r="U293" s="9" t="b">
        <v>0</v>
      </c>
    </row>
    <row r="294" spans="1:21" x14ac:dyDescent="0.25">
      <c r="A294" s="9">
        <v>5842</v>
      </c>
      <c r="B294" s="9" t="s">
        <v>83</v>
      </c>
      <c r="C294" s="9" t="s">
        <v>40</v>
      </c>
      <c r="D294" s="9" t="s">
        <v>93</v>
      </c>
      <c r="E294" s="9">
        <v>2010</v>
      </c>
      <c r="F294" s="9">
        <v>2012</v>
      </c>
      <c r="G294" s="9">
        <v>2</v>
      </c>
      <c r="H294" s="9"/>
      <c r="I294" s="9"/>
      <c r="J294" s="9"/>
      <c r="K294" s="9"/>
      <c r="L294" s="9">
        <v>113.82</v>
      </c>
      <c r="M294" s="9"/>
      <c r="N294" s="9"/>
      <c r="O294" s="9">
        <v>4638.3599999999997</v>
      </c>
      <c r="P294" s="9" t="s">
        <v>92</v>
      </c>
      <c r="Q294" s="9">
        <v>1.2269000000000001</v>
      </c>
      <c r="R294" s="9">
        <v>113.82</v>
      </c>
      <c r="S294" s="9" t="s">
        <v>94</v>
      </c>
      <c r="T294" s="9" t="s">
        <v>158</v>
      </c>
      <c r="U294" s="9" t="b">
        <v>1</v>
      </c>
    </row>
    <row r="295" spans="1:21" x14ac:dyDescent="0.25">
      <c r="A295" s="9">
        <v>5842</v>
      </c>
      <c r="B295" s="9" t="s">
        <v>83</v>
      </c>
      <c r="C295" s="9" t="s">
        <v>40</v>
      </c>
      <c r="D295" s="9" t="s">
        <v>96</v>
      </c>
      <c r="E295" s="9">
        <v>2012</v>
      </c>
      <c r="F295" s="9">
        <v>2013</v>
      </c>
      <c r="G295" s="9">
        <v>1</v>
      </c>
      <c r="H295" s="9">
        <v>4555.46</v>
      </c>
      <c r="I295" s="9">
        <v>21879.13</v>
      </c>
      <c r="J295" s="9"/>
      <c r="K295" s="9">
        <v>16.079999999999998</v>
      </c>
      <c r="L295" s="9">
        <v>134.41999999999999</v>
      </c>
      <c r="M295" s="9">
        <v>26569</v>
      </c>
      <c r="N295" s="9">
        <v>17.149999999999999</v>
      </c>
      <c r="O295" s="9">
        <v>4638.3599999999997</v>
      </c>
      <c r="P295" s="9" t="s">
        <v>92</v>
      </c>
      <c r="Q295" s="9">
        <v>2.8978999999999999</v>
      </c>
      <c r="R295" s="9">
        <v>134.41999999999999</v>
      </c>
      <c r="S295" s="9" t="s">
        <v>97</v>
      </c>
      <c r="T295" s="9" t="s">
        <v>159</v>
      </c>
      <c r="U295" s="9" t="b">
        <v>0</v>
      </c>
    </row>
    <row r="296" spans="1:21" x14ac:dyDescent="0.25">
      <c r="A296" s="9">
        <v>5842</v>
      </c>
      <c r="B296" s="9" t="s">
        <v>83</v>
      </c>
      <c r="C296" s="9" t="s">
        <v>40</v>
      </c>
      <c r="D296" s="9" t="s">
        <v>98</v>
      </c>
      <c r="E296" s="9">
        <v>2013</v>
      </c>
      <c r="F296" s="9">
        <v>2014</v>
      </c>
      <c r="G296" s="9">
        <v>1</v>
      </c>
      <c r="H296" s="9">
        <v>4496.43</v>
      </c>
      <c r="I296" s="9">
        <v>22032.99</v>
      </c>
      <c r="J296" s="9"/>
      <c r="K296" s="9">
        <v>2.67</v>
      </c>
      <c r="L296" s="9">
        <v>59.22</v>
      </c>
      <c r="M296" s="9">
        <v>26588.639999999999</v>
      </c>
      <c r="N296" s="9">
        <v>16.91</v>
      </c>
      <c r="O296" s="9">
        <v>4555.46</v>
      </c>
      <c r="P296" s="9" t="s">
        <v>96</v>
      </c>
      <c r="Q296" s="9">
        <v>1.2999000000000001</v>
      </c>
      <c r="R296" s="9">
        <v>59.22</v>
      </c>
      <c r="S296" s="9" t="s">
        <v>89</v>
      </c>
      <c r="T296" s="9" t="s">
        <v>157</v>
      </c>
      <c r="U296" s="9" t="b">
        <v>0</v>
      </c>
    </row>
    <row r="297" spans="1:21" x14ac:dyDescent="0.25">
      <c r="A297" s="9">
        <v>5842</v>
      </c>
      <c r="B297" s="9" t="s">
        <v>83</v>
      </c>
      <c r="C297" s="9" t="s">
        <v>40</v>
      </c>
      <c r="D297" s="9" t="s">
        <v>99</v>
      </c>
      <c r="E297" s="9">
        <v>2014</v>
      </c>
      <c r="F297" s="9">
        <v>2015</v>
      </c>
      <c r="G297" s="9">
        <v>1</v>
      </c>
      <c r="H297" s="9">
        <v>4471.8599999999997</v>
      </c>
      <c r="I297" s="9">
        <v>22045.81</v>
      </c>
      <c r="J297" s="9"/>
      <c r="K297" s="9">
        <v>2.69</v>
      </c>
      <c r="L297" s="9">
        <v>36.97</v>
      </c>
      <c r="M297" s="9">
        <v>26554.63</v>
      </c>
      <c r="N297" s="9">
        <v>16.84</v>
      </c>
      <c r="O297" s="9">
        <v>4496.43</v>
      </c>
      <c r="P297" s="9" t="s">
        <v>98</v>
      </c>
      <c r="Q297" s="9">
        <v>0.82210000000000005</v>
      </c>
      <c r="R297" s="9">
        <v>36.97</v>
      </c>
      <c r="S297" s="9" t="s">
        <v>43</v>
      </c>
      <c r="T297" s="9" t="s">
        <v>156</v>
      </c>
      <c r="U297" s="9" t="b">
        <v>0</v>
      </c>
    </row>
    <row r="298" spans="1:21" x14ac:dyDescent="0.25">
      <c r="A298" s="9">
        <v>5842</v>
      </c>
      <c r="B298" s="9" t="s">
        <v>83</v>
      </c>
      <c r="C298" s="9" t="s">
        <v>40</v>
      </c>
      <c r="D298" s="9" t="s">
        <v>100</v>
      </c>
      <c r="E298" s="9">
        <v>2015</v>
      </c>
      <c r="F298" s="9">
        <v>2016</v>
      </c>
      <c r="G298" s="9">
        <v>1</v>
      </c>
      <c r="H298" s="9"/>
      <c r="I298" s="9"/>
      <c r="J298" s="9"/>
      <c r="K298" s="9"/>
      <c r="L298" s="9">
        <v>7.56</v>
      </c>
      <c r="M298" s="9"/>
      <c r="N298" s="9"/>
      <c r="O298" s="9">
        <v>4471.8599999999997</v>
      </c>
      <c r="P298" s="9" t="s">
        <v>99</v>
      </c>
      <c r="Q298" s="9">
        <v>0.1691</v>
      </c>
      <c r="R298" s="9">
        <v>7.56</v>
      </c>
      <c r="S298" s="9" t="s">
        <v>160</v>
      </c>
      <c r="T298" s="9" t="s">
        <v>158</v>
      </c>
      <c r="U298" s="9" t="b">
        <v>1</v>
      </c>
    </row>
    <row r="299" spans="1:21" x14ac:dyDescent="0.25">
      <c r="A299" s="9">
        <v>5842</v>
      </c>
      <c r="B299" s="9" t="s">
        <v>83</v>
      </c>
      <c r="C299" s="9" t="s">
        <v>40</v>
      </c>
      <c r="D299" s="9" t="s">
        <v>102</v>
      </c>
      <c r="E299" s="9">
        <v>2016</v>
      </c>
      <c r="F299" s="9">
        <v>2017</v>
      </c>
      <c r="G299" s="9">
        <v>1</v>
      </c>
      <c r="H299" s="9">
        <v>4389.6899999999996</v>
      </c>
      <c r="I299" s="9">
        <v>22135.61</v>
      </c>
      <c r="J299" s="9"/>
      <c r="K299" s="9"/>
      <c r="L299" s="9">
        <v>39.22</v>
      </c>
      <c r="M299" s="9">
        <v>26564.52</v>
      </c>
      <c r="N299" s="9">
        <v>16.52</v>
      </c>
      <c r="O299" s="9">
        <v>4471.8599999999997</v>
      </c>
      <c r="P299" s="9" t="s">
        <v>99</v>
      </c>
      <c r="Q299" s="9">
        <v>0.877</v>
      </c>
      <c r="R299" s="9">
        <v>39.22</v>
      </c>
      <c r="S299" s="9" t="s">
        <v>89</v>
      </c>
      <c r="T299" s="9" t="s">
        <v>157</v>
      </c>
      <c r="U299" s="9" t="b">
        <v>0</v>
      </c>
    </row>
    <row r="300" spans="1:21" x14ac:dyDescent="0.25">
      <c r="A300" s="9">
        <v>5842</v>
      </c>
      <c r="B300" s="9" t="s">
        <v>83</v>
      </c>
      <c r="C300" s="9" t="s">
        <v>40</v>
      </c>
      <c r="D300" s="9" t="s">
        <v>103</v>
      </c>
      <c r="E300" s="9">
        <v>2017</v>
      </c>
      <c r="F300" s="9">
        <v>2018</v>
      </c>
      <c r="G300" s="9">
        <v>1</v>
      </c>
      <c r="H300" s="9">
        <v>4362.8100000000004</v>
      </c>
      <c r="I300" s="9">
        <v>22186.720000000001</v>
      </c>
      <c r="J300" s="9">
        <v>6.07</v>
      </c>
      <c r="K300" s="9"/>
      <c r="L300" s="9">
        <v>8.92</v>
      </c>
      <c r="M300" s="9">
        <v>26564.52</v>
      </c>
      <c r="N300" s="9">
        <v>16.420000000000002</v>
      </c>
      <c r="O300" s="9">
        <v>4389.6899999999996</v>
      </c>
      <c r="P300" s="9" t="s">
        <v>102</v>
      </c>
      <c r="Q300" s="9">
        <v>0.20330000000000001</v>
      </c>
      <c r="R300" s="9">
        <v>2.86</v>
      </c>
      <c r="S300" s="9" t="s">
        <v>89</v>
      </c>
      <c r="T300" s="9" t="s">
        <v>157</v>
      </c>
      <c r="U300" s="9" t="b">
        <v>0</v>
      </c>
    </row>
    <row r="301" spans="1:21" x14ac:dyDescent="0.25">
      <c r="A301" s="9">
        <v>5842</v>
      </c>
      <c r="B301" s="9" t="s">
        <v>83</v>
      </c>
      <c r="C301" s="9" t="s">
        <v>40</v>
      </c>
      <c r="D301" s="9" t="s">
        <v>104</v>
      </c>
      <c r="E301" s="9">
        <v>2018</v>
      </c>
      <c r="F301" s="9">
        <v>2019</v>
      </c>
      <c r="G301" s="9">
        <v>1</v>
      </c>
      <c r="H301" s="9"/>
      <c r="I301" s="9"/>
      <c r="J301" s="9"/>
      <c r="K301" s="9"/>
      <c r="L301" s="9">
        <v>11.36</v>
      </c>
      <c r="M301" s="9"/>
      <c r="N301" s="9"/>
      <c r="O301" s="9">
        <v>4362.8100000000004</v>
      </c>
      <c r="P301" s="9" t="s">
        <v>103</v>
      </c>
      <c r="Q301" s="9">
        <v>0.26040000000000002</v>
      </c>
      <c r="R301" s="9">
        <v>11.36</v>
      </c>
      <c r="S301" s="9" t="s">
        <v>105</v>
      </c>
      <c r="T301" s="9" t="s">
        <v>158</v>
      </c>
      <c r="U301" s="9" t="b">
        <v>1</v>
      </c>
    </row>
    <row r="302" spans="1:21" x14ac:dyDescent="0.25">
      <c r="A302" s="9">
        <v>5842</v>
      </c>
      <c r="B302" s="9" t="s">
        <v>83</v>
      </c>
      <c r="C302" s="9" t="s">
        <v>40</v>
      </c>
      <c r="D302" s="9" t="s">
        <v>106</v>
      </c>
      <c r="E302" s="9">
        <v>2019</v>
      </c>
      <c r="F302" s="9">
        <v>2020</v>
      </c>
      <c r="G302" s="9">
        <v>1</v>
      </c>
      <c r="H302" s="9">
        <v>4343.82</v>
      </c>
      <c r="I302" s="9">
        <v>22206.9</v>
      </c>
      <c r="J302" s="9"/>
      <c r="K302" s="9"/>
      <c r="L302" s="9">
        <v>13.8</v>
      </c>
      <c r="M302" s="9">
        <v>26564.52</v>
      </c>
      <c r="N302" s="9">
        <v>16.350000000000001</v>
      </c>
      <c r="O302" s="9">
        <v>4362.8100000000004</v>
      </c>
      <c r="P302" s="9" t="s">
        <v>103</v>
      </c>
      <c r="Q302" s="9">
        <v>0.31619999999999998</v>
      </c>
      <c r="R302" s="9">
        <v>13.8</v>
      </c>
      <c r="S302" s="9" t="s">
        <v>89</v>
      </c>
      <c r="T302" s="9" t="s">
        <v>157</v>
      </c>
      <c r="U302" s="9" t="b">
        <v>0</v>
      </c>
    </row>
    <row r="303" spans="1:21" x14ac:dyDescent="0.25">
      <c r="A303" s="9">
        <v>5842</v>
      </c>
      <c r="B303" s="9" t="s">
        <v>83</v>
      </c>
      <c r="C303" s="9" t="s">
        <v>40</v>
      </c>
      <c r="D303" s="9" t="s">
        <v>107</v>
      </c>
      <c r="E303" s="9">
        <v>2020</v>
      </c>
      <c r="F303" s="9">
        <v>2021</v>
      </c>
      <c r="G303" s="9">
        <v>1</v>
      </c>
      <c r="H303" s="9">
        <v>4339.3100000000004</v>
      </c>
      <c r="I303" s="9">
        <v>22221.279999999999</v>
      </c>
      <c r="J303" s="9"/>
      <c r="K303" s="9"/>
      <c r="L303" s="9">
        <v>3.93</v>
      </c>
      <c r="M303" s="9">
        <v>26564.52</v>
      </c>
      <c r="N303" s="9">
        <v>16.329999999999998</v>
      </c>
      <c r="O303" s="9">
        <v>4343.82</v>
      </c>
      <c r="P303" s="9" t="s">
        <v>106</v>
      </c>
      <c r="Q303" s="9">
        <v>9.06E-2</v>
      </c>
      <c r="R303" s="9">
        <v>3.93</v>
      </c>
      <c r="S303" s="9" t="s">
        <v>89</v>
      </c>
      <c r="T303" s="9" t="s">
        <v>157</v>
      </c>
      <c r="U303" s="9" t="b">
        <v>0</v>
      </c>
    </row>
    <row r="304" spans="1:21" x14ac:dyDescent="0.25">
      <c r="A304" s="9">
        <v>5842</v>
      </c>
      <c r="B304" s="9" t="s">
        <v>83</v>
      </c>
      <c r="C304" s="9" t="s">
        <v>40</v>
      </c>
      <c r="D304" s="9" t="s">
        <v>108</v>
      </c>
      <c r="E304" s="9">
        <v>2021</v>
      </c>
      <c r="F304" s="9">
        <v>2022</v>
      </c>
      <c r="G304" s="9">
        <v>1</v>
      </c>
      <c r="H304" s="9">
        <v>4261.12</v>
      </c>
      <c r="I304" s="9">
        <v>22302.560000000001</v>
      </c>
      <c r="J304" s="9"/>
      <c r="K304" s="9"/>
      <c r="L304" s="9">
        <v>0.84</v>
      </c>
      <c r="M304" s="9">
        <v>26564.52</v>
      </c>
      <c r="N304" s="9">
        <v>16.04</v>
      </c>
      <c r="O304" s="9">
        <v>4339.3100000000004</v>
      </c>
      <c r="P304" s="9" t="s">
        <v>107</v>
      </c>
      <c r="Q304" s="9">
        <v>1.9300000000000001E-2</v>
      </c>
      <c r="R304" s="9">
        <v>0.84</v>
      </c>
      <c r="S304" s="9" t="s">
        <v>89</v>
      </c>
      <c r="T304" s="9" t="s">
        <v>157</v>
      </c>
      <c r="U304" s="9" t="b">
        <v>0</v>
      </c>
    </row>
    <row r="305" spans="1:21" x14ac:dyDescent="0.25">
      <c r="A305" s="9">
        <v>5842</v>
      </c>
      <c r="B305" s="9" t="s">
        <v>83</v>
      </c>
      <c r="C305" s="9" t="s">
        <v>40</v>
      </c>
      <c r="D305" s="9" t="s">
        <v>109</v>
      </c>
      <c r="E305" s="9">
        <v>2022</v>
      </c>
      <c r="F305" s="9">
        <v>2023</v>
      </c>
      <c r="G305" s="9">
        <v>1</v>
      </c>
      <c r="H305" s="9">
        <v>4242.2700000000004</v>
      </c>
      <c r="I305" s="9">
        <v>22316.09</v>
      </c>
      <c r="J305" s="9"/>
      <c r="K305" s="9"/>
      <c r="L305" s="9">
        <v>6.16</v>
      </c>
      <c r="M305" s="9">
        <v>26564.52</v>
      </c>
      <c r="N305" s="9">
        <v>15.97</v>
      </c>
      <c r="O305" s="9">
        <v>4261.12</v>
      </c>
      <c r="P305" s="9" t="s">
        <v>108</v>
      </c>
      <c r="Q305" s="9">
        <v>0.14460000000000001</v>
      </c>
      <c r="R305" s="9">
        <v>6.16</v>
      </c>
      <c r="S305" s="9" t="s">
        <v>89</v>
      </c>
      <c r="T305" s="9" t="s">
        <v>157</v>
      </c>
      <c r="U305" s="9" t="b">
        <v>0</v>
      </c>
    </row>
    <row r="306" spans="1:21" x14ac:dyDescent="0.25">
      <c r="A306" s="9">
        <v>5842</v>
      </c>
      <c r="B306" s="9" t="s">
        <v>83</v>
      </c>
      <c r="C306" s="9" t="s">
        <v>40</v>
      </c>
      <c r="D306" s="9" t="s">
        <v>110</v>
      </c>
      <c r="E306" s="9">
        <v>2023</v>
      </c>
      <c r="F306" s="9">
        <v>2024</v>
      </c>
      <c r="G306" s="9">
        <v>1</v>
      </c>
      <c r="H306" s="9"/>
      <c r="I306" s="9"/>
      <c r="J306" s="9"/>
      <c r="K306" s="9"/>
      <c r="L306" s="9">
        <v>5.87</v>
      </c>
      <c r="M306" s="9"/>
      <c r="N306" s="9"/>
      <c r="O306" s="9">
        <v>4242.2700000000004</v>
      </c>
      <c r="P306" s="9" t="s">
        <v>109</v>
      </c>
      <c r="Q306" s="9">
        <v>0.1384</v>
      </c>
      <c r="R306" s="9">
        <v>5.87</v>
      </c>
      <c r="S306" s="9" t="s">
        <v>105</v>
      </c>
      <c r="T306" s="9" t="s">
        <v>158</v>
      </c>
      <c r="U306" s="9" t="b">
        <v>1</v>
      </c>
    </row>
    <row r="307" spans="1:21" x14ac:dyDescent="0.25">
      <c r="A307" s="9">
        <v>5847</v>
      </c>
      <c r="B307" s="9" t="s">
        <v>85</v>
      </c>
      <c r="C307" s="9" t="s">
        <v>85</v>
      </c>
      <c r="D307" s="9" t="s">
        <v>41</v>
      </c>
      <c r="E307" s="9">
        <v>2000</v>
      </c>
      <c r="F307" s="9">
        <v>2002</v>
      </c>
      <c r="G307" s="9">
        <v>2</v>
      </c>
      <c r="H307" s="9">
        <v>169147.51</v>
      </c>
      <c r="I307" s="9">
        <v>77245.36</v>
      </c>
      <c r="J307" s="9">
        <v>427.94</v>
      </c>
      <c r="K307" s="9">
        <v>7320</v>
      </c>
      <c r="L307" s="9">
        <v>482.46</v>
      </c>
      <c r="M307" s="9">
        <v>247303.26</v>
      </c>
      <c r="N307" s="9">
        <v>68.400000000000006</v>
      </c>
      <c r="O307" s="9"/>
      <c r="P307" s="9"/>
      <c r="Q307" s="9"/>
      <c r="R307" s="9">
        <v>54.52</v>
      </c>
      <c r="S307" s="9" t="s">
        <v>43</v>
      </c>
      <c r="T307" s="9" t="s">
        <v>156</v>
      </c>
      <c r="U307" s="9" t="b">
        <v>0</v>
      </c>
    </row>
    <row r="308" spans="1:21" x14ac:dyDescent="0.25">
      <c r="A308" s="9">
        <v>5847</v>
      </c>
      <c r="B308" s="9" t="s">
        <v>85</v>
      </c>
      <c r="C308" s="9" t="s">
        <v>85</v>
      </c>
      <c r="D308" s="9" t="s">
        <v>88</v>
      </c>
      <c r="E308" s="9">
        <v>2002</v>
      </c>
      <c r="F308" s="9">
        <v>2004</v>
      </c>
      <c r="G308" s="9">
        <v>2</v>
      </c>
      <c r="H308" s="9">
        <v>168096.28</v>
      </c>
      <c r="I308" s="9">
        <v>77750.990000000005</v>
      </c>
      <c r="J308" s="9"/>
      <c r="K308" s="9">
        <v>8141.87</v>
      </c>
      <c r="L308" s="9">
        <v>273.97000000000003</v>
      </c>
      <c r="M308" s="9">
        <v>246121.24</v>
      </c>
      <c r="N308" s="9">
        <v>68.3</v>
      </c>
      <c r="O308" s="9">
        <v>169147.51</v>
      </c>
      <c r="P308" s="9" t="s">
        <v>41</v>
      </c>
      <c r="Q308" s="9">
        <v>8.1000000000000003E-2</v>
      </c>
      <c r="R308" s="9">
        <v>273.97000000000003</v>
      </c>
      <c r="S308" s="9" t="s">
        <v>89</v>
      </c>
      <c r="T308" s="9" t="s">
        <v>157</v>
      </c>
      <c r="U308" s="9" t="b">
        <v>0</v>
      </c>
    </row>
    <row r="309" spans="1:21" x14ac:dyDescent="0.25">
      <c r="A309" s="9">
        <v>5847</v>
      </c>
      <c r="B309" s="9" t="s">
        <v>85</v>
      </c>
      <c r="C309" s="9" t="s">
        <v>85</v>
      </c>
      <c r="D309" s="9" t="s">
        <v>90</v>
      </c>
      <c r="E309" s="9">
        <v>2004</v>
      </c>
      <c r="F309" s="9">
        <v>2006</v>
      </c>
      <c r="G309" s="9">
        <v>2</v>
      </c>
      <c r="H309" s="9">
        <v>168299.74</v>
      </c>
      <c r="I309" s="9">
        <v>78174.69</v>
      </c>
      <c r="J309" s="9"/>
      <c r="K309" s="9">
        <v>7478.39</v>
      </c>
      <c r="L309" s="9">
        <v>309.31</v>
      </c>
      <c r="M309" s="9">
        <v>246783.74</v>
      </c>
      <c r="N309" s="9">
        <v>68.2</v>
      </c>
      <c r="O309" s="9">
        <v>168096.28</v>
      </c>
      <c r="P309" s="9" t="s">
        <v>88</v>
      </c>
      <c r="Q309" s="9">
        <v>9.1999999999999998E-2</v>
      </c>
      <c r="R309" s="9">
        <v>309.31</v>
      </c>
      <c r="S309" s="9" t="s">
        <v>89</v>
      </c>
      <c r="T309" s="9" t="s">
        <v>157</v>
      </c>
      <c r="U309" s="9" t="b">
        <v>0</v>
      </c>
    </row>
    <row r="310" spans="1:21" x14ac:dyDescent="0.25">
      <c r="A310" s="9">
        <v>5847</v>
      </c>
      <c r="B310" s="9" t="s">
        <v>85</v>
      </c>
      <c r="C310" s="9" t="s">
        <v>85</v>
      </c>
      <c r="D310" s="9" t="s">
        <v>91</v>
      </c>
      <c r="E310" s="9">
        <v>2006</v>
      </c>
      <c r="F310" s="9">
        <v>2008</v>
      </c>
      <c r="G310" s="9">
        <v>2</v>
      </c>
      <c r="H310" s="9">
        <v>167708.99</v>
      </c>
      <c r="I310" s="9">
        <v>78518.3</v>
      </c>
      <c r="J310" s="9"/>
      <c r="K310" s="9">
        <v>7866.9</v>
      </c>
      <c r="L310" s="9">
        <v>167.73</v>
      </c>
      <c r="M310" s="9">
        <v>246395.01</v>
      </c>
      <c r="N310" s="9">
        <v>68.069999999999993</v>
      </c>
      <c r="O310" s="9">
        <v>168299.74</v>
      </c>
      <c r="P310" s="9" t="s">
        <v>90</v>
      </c>
      <c r="Q310" s="9">
        <v>4.9799999999999997E-2</v>
      </c>
      <c r="R310" s="9">
        <v>167.73</v>
      </c>
      <c r="S310" s="9" t="s">
        <v>89</v>
      </c>
      <c r="T310" s="9" t="s">
        <v>157</v>
      </c>
      <c r="U310" s="9" t="b">
        <v>0</v>
      </c>
    </row>
    <row r="311" spans="1:21" x14ac:dyDescent="0.25">
      <c r="A311" s="9">
        <v>5847</v>
      </c>
      <c r="B311" s="9" t="s">
        <v>85</v>
      </c>
      <c r="C311" s="9" t="s">
        <v>85</v>
      </c>
      <c r="D311" s="9" t="s">
        <v>92</v>
      </c>
      <c r="E311" s="9">
        <v>2008</v>
      </c>
      <c r="F311" s="9">
        <v>2010</v>
      </c>
      <c r="G311" s="9">
        <v>2</v>
      </c>
      <c r="H311" s="9">
        <v>172128</v>
      </c>
      <c r="I311" s="9">
        <v>78189.7</v>
      </c>
      <c r="J311" s="9"/>
      <c r="K311" s="9">
        <v>3696.99</v>
      </c>
      <c r="L311" s="9">
        <v>247.29</v>
      </c>
      <c r="M311" s="9">
        <v>250564.98</v>
      </c>
      <c r="N311" s="9">
        <v>68.7</v>
      </c>
      <c r="O311" s="9">
        <v>167708.99</v>
      </c>
      <c r="P311" s="9" t="s">
        <v>91</v>
      </c>
      <c r="Q311" s="9">
        <v>7.3700000000000002E-2</v>
      </c>
      <c r="R311" s="9">
        <v>247.29</v>
      </c>
      <c r="S311" s="9" t="s">
        <v>89</v>
      </c>
      <c r="T311" s="9" t="s">
        <v>157</v>
      </c>
      <c r="U311" s="9" t="b">
        <v>0</v>
      </c>
    </row>
    <row r="312" spans="1:21" x14ac:dyDescent="0.25">
      <c r="A312" s="9">
        <v>5847</v>
      </c>
      <c r="B312" s="9" t="s">
        <v>85</v>
      </c>
      <c r="C312" s="9" t="s">
        <v>85</v>
      </c>
      <c r="D312" s="9" t="s">
        <v>93</v>
      </c>
      <c r="E312" s="9">
        <v>2010</v>
      </c>
      <c r="F312" s="9">
        <v>2012</v>
      </c>
      <c r="G312" s="9">
        <v>2</v>
      </c>
      <c r="H312" s="9"/>
      <c r="I312" s="9"/>
      <c r="J312" s="9"/>
      <c r="K312" s="9"/>
      <c r="L312" s="9">
        <v>268.19</v>
      </c>
      <c r="M312" s="9"/>
      <c r="N312" s="9"/>
      <c r="O312" s="9">
        <v>172128</v>
      </c>
      <c r="P312" s="9" t="s">
        <v>92</v>
      </c>
      <c r="Q312" s="9">
        <v>7.7899999999999997E-2</v>
      </c>
      <c r="R312" s="9">
        <v>268.19</v>
      </c>
      <c r="S312" s="9" t="s">
        <v>94</v>
      </c>
      <c r="T312" s="9" t="s">
        <v>158</v>
      </c>
      <c r="U312" s="9" t="b">
        <v>1</v>
      </c>
    </row>
    <row r="313" spans="1:21" x14ac:dyDescent="0.25">
      <c r="A313" s="9">
        <v>5847</v>
      </c>
      <c r="B313" s="9" t="s">
        <v>85</v>
      </c>
      <c r="C313" s="9" t="s">
        <v>85</v>
      </c>
      <c r="D313" s="9" t="s">
        <v>96</v>
      </c>
      <c r="E313" s="9">
        <v>2012</v>
      </c>
      <c r="F313" s="9">
        <v>2013</v>
      </c>
      <c r="G313" s="9">
        <v>1</v>
      </c>
      <c r="H313" s="9">
        <v>173713.4</v>
      </c>
      <c r="I313" s="9">
        <v>76379.320000000007</v>
      </c>
      <c r="J313" s="9"/>
      <c r="K313" s="9">
        <v>4219.51</v>
      </c>
      <c r="L313" s="9">
        <v>196.14</v>
      </c>
      <c r="M313" s="9">
        <v>250288.86</v>
      </c>
      <c r="N313" s="9">
        <v>69.41</v>
      </c>
      <c r="O313" s="9">
        <v>172128</v>
      </c>
      <c r="P313" s="9" t="s">
        <v>92</v>
      </c>
      <c r="Q313" s="9">
        <v>0.1139</v>
      </c>
      <c r="R313" s="9">
        <v>196.14</v>
      </c>
      <c r="S313" s="9" t="s">
        <v>97</v>
      </c>
      <c r="T313" s="9" t="s">
        <v>159</v>
      </c>
      <c r="U313" s="9" t="b">
        <v>0</v>
      </c>
    </row>
    <row r="314" spans="1:21" x14ac:dyDescent="0.25">
      <c r="A314" s="9">
        <v>5847</v>
      </c>
      <c r="B314" s="9" t="s">
        <v>85</v>
      </c>
      <c r="C314" s="9" t="s">
        <v>85</v>
      </c>
      <c r="D314" s="9" t="s">
        <v>98</v>
      </c>
      <c r="E314" s="9">
        <v>2013</v>
      </c>
      <c r="F314" s="9">
        <v>2014</v>
      </c>
      <c r="G314" s="9">
        <v>1</v>
      </c>
      <c r="H314" s="9">
        <v>174774.04</v>
      </c>
      <c r="I314" s="9">
        <v>76759.850000000006</v>
      </c>
      <c r="J314" s="9"/>
      <c r="K314" s="9">
        <v>2273.12</v>
      </c>
      <c r="L314" s="9">
        <v>771.55</v>
      </c>
      <c r="M314" s="9">
        <v>252305.44</v>
      </c>
      <c r="N314" s="9">
        <v>69.27</v>
      </c>
      <c r="O314" s="9">
        <v>173713.4</v>
      </c>
      <c r="P314" s="9" t="s">
        <v>96</v>
      </c>
      <c r="Q314" s="9">
        <v>0.44409999999999999</v>
      </c>
      <c r="R314" s="9">
        <v>771.55</v>
      </c>
      <c r="S314" s="9" t="s">
        <v>89</v>
      </c>
      <c r="T314" s="9" t="s">
        <v>157</v>
      </c>
      <c r="U314" s="9" t="b">
        <v>0</v>
      </c>
    </row>
    <row r="315" spans="1:21" x14ac:dyDescent="0.25">
      <c r="A315" s="9">
        <v>5847</v>
      </c>
      <c r="B315" s="9" t="s">
        <v>85</v>
      </c>
      <c r="C315" s="9" t="s">
        <v>85</v>
      </c>
      <c r="D315" s="9" t="s">
        <v>99</v>
      </c>
      <c r="E315" s="9">
        <v>2014</v>
      </c>
      <c r="F315" s="9">
        <v>2015</v>
      </c>
      <c r="G315" s="9">
        <v>1</v>
      </c>
      <c r="H315" s="9">
        <v>174166.67</v>
      </c>
      <c r="I315" s="9">
        <v>77169.86</v>
      </c>
      <c r="J315" s="9"/>
      <c r="K315" s="9">
        <v>2754.01</v>
      </c>
      <c r="L315" s="9">
        <v>119.1</v>
      </c>
      <c r="M315" s="9">
        <v>251455.63</v>
      </c>
      <c r="N315" s="9">
        <v>69.260000000000005</v>
      </c>
      <c r="O315" s="9">
        <v>174774.04</v>
      </c>
      <c r="P315" s="9" t="s">
        <v>98</v>
      </c>
      <c r="Q315" s="9">
        <v>6.8099999999999994E-2</v>
      </c>
      <c r="R315" s="9">
        <v>119.1</v>
      </c>
      <c r="S315" s="9" t="s">
        <v>43</v>
      </c>
      <c r="T315" s="9" t="s">
        <v>156</v>
      </c>
      <c r="U315" s="9" t="b">
        <v>0</v>
      </c>
    </row>
    <row r="316" spans="1:21" x14ac:dyDescent="0.25">
      <c r="A316" s="9">
        <v>5847</v>
      </c>
      <c r="B316" s="9" t="s">
        <v>85</v>
      </c>
      <c r="C316" s="9" t="s">
        <v>85</v>
      </c>
      <c r="D316" s="9" t="s">
        <v>102</v>
      </c>
      <c r="E316" s="9">
        <v>2016</v>
      </c>
      <c r="F316" s="9">
        <v>2017</v>
      </c>
      <c r="G316" s="9">
        <v>1</v>
      </c>
      <c r="H316" s="9">
        <v>162703.85</v>
      </c>
      <c r="I316" s="9">
        <v>76365.42</v>
      </c>
      <c r="J316" s="9"/>
      <c r="K316" s="9">
        <v>14536.4</v>
      </c>
      <c r="L316" s="9">
        <v>656.33</v>
      </c>
      <c r="M316" s="9">
        <v>239725.59</v>
      </c>
      <c r="N316" s="9">
        <v>67.87</v>
      </c>
      <c r="O316" s="9">
        <v>174166.67</v>
      </c>
      <c r="P316" s="9" t="s">
        <v>99</v>
      </c>
      <c r="Q316" s="9">
        <v>0.37680000000000002</v>
      </c>
      <c r="R316" s="9">
        <v>656.33</v>
      </c>
      <c r="S316" s="9" t="s">
        <v>89</v>
      </c>
      <c r="T316" s="9" t="s">
        <v>157</v>
      </c>
      <c r="U316" s="9" t="b">
        <v>0</v>
      </c>
    </row>
    <row r="317" spans="1:21" x14ac:dyDescent="0.25">
      <c r="A317" s="9">
        <v>5847</v>
      </c>
      <c r="B317" s="9" t="s">
        <v>85</v>
      </c>
      <c r="C317" s="9" t="s">
        <v>85</v>
      </c>
      <c r="D317" s="9" t="s">
        <v>103</v>
      </c>
      <c r="E317" s="9">
        <v>2017</v>
      </c>
      <c r="F317" s="9">
        <v>2018</v>
      </c>
      <c r="G317" s="9">
        <v>1</v>
      </c>
      <c r="H317" s="9">
        <v>173157.57</v>
      </c>
      <c r="I317" s="9">
        <v>77667.460000000006</v>
      </c>
      <c r="J317" s="9">
        <v>3.53</v>
      </c>
      <c r="K317" s="9">
        <v>3196.67</v>
      </c>
      <c r="L317" s="9">
        <v>237.82</v>
      </c>
      <c r="M317" s="9">
        <v>251066.39</v>
      </c>
      <c r="N317" s="9">
        <v>68.97</v>
      </c>
      <c r="O317" s="9">
        <v>162703.85</v>
      </c>
      <c r="P317" s="9" t="s">
        <v>102</v>
      </c>
      <c r="Q317" s="9">
        <v>0.1462</v>
      </c>
      <c r="R317" s="9">
        <v>234.29</v>
      </c>
      <c r="S317" s="9" t="s">
        <v>89</v>
      </c>
      <c r="T317" s="9" t="s">
        <v>157</v>
      </c>
      <c r="U317" s="9" t="b">
        <v>0</v>
      </c>
    </row>
    <row r="318" spans="1:21" x14ac:dyDescent="0.25">
      <c r="A318" s="9">
        <v>5847</v>
      </c>
      <c r="B318" s="9" t="s">
        <v>85</v>
      </c>
      <c r="C318" s="9" t="s">
        <v>85</v>
      </c>
      <c r="D318" s="9" t="s">
        <v>104</v>
      </c>
      <c r="E318" s="9">
        <v>2018</v>
      </c>
      <c r="F318" s="9">
        <v>2019</v>
      </c>
      <c r="G318" s="9">
        <v>1</v>
      </c>
      <c r="H318" s="9"/>
      <c r="I318" s="9"/>
      <c r="J318" s="9"/>
      <c r="K318" s="9"/>
      <c r="L318" s="9">
        <v>244.43</v>
      </c>
      <c r="M318" s="9"/>
      <c r="N318" s="9"/>
      <c r="O318" s="9">
        <v>173157.57</v>
      </c>
      <c r="P318" s="9" t="s">
        <v>103</v>
      </c>
      <c r="Q318" s="9">
        <v>0.14119999999999999</v>
      </c>
      <c r="R318" s="9">
        <v>244.43</v>
      </c>
      <c r="S318" s="9" t="s">
        <v>105</v>
      </c>
      <c r="T318" s="9" t="s">
        <v>158</v>
      </c>
      <c r="U318" s="9" t="b">
        <v>1</v>
      </c>
    </row>
    <row r="319" spans="1:21" x14ac:dyDescent="0.25">
      <c r="A319" s="9">
        <v>5847</v>
      </c>
      <c r="B319" s="9" t="s">
        <v>85</v>
      </c>
      <c r="C319" s="9" t="s">
        <v>85</v>
      </c>
      <c r="D319" s="9" t="s">
        <v>106</v>
      </c>
      <c r="E319" s="9">
        <v>2019</v>
      </c>
      <c r="F319" s="9">
        <v>2020</v>
      </c>
      <c r="G319" s="9">
        <v>1</v>
      </c>
      <c r="H319" s="9">
        <v>172210.75</v>
      </c>
      <c r="I319" s="9">
        <v>80159.44</v>
      </c>
      <c r="J319" s="9"/>
      <c r="K319" s="9">
        <v>1641.24</v>
      </c>
      <c r="L319" s="9">
        <v>251.04</v>
      </c>
      <c r="M319" s="9">
        <v>252621.24</v>
      </c>
      <c r="N319" s="9">
        <v>68.17</v>
      </c>
      <c r="O319" s="9">
        <v>173157.57</v>
      </c>
      <c r="P319" s="9" t="s">
        <v>103</v>
      </c>
      <c r="Q319" s="9">
        <v>0.14499999999999999</v>
      </c>
      <c r="R319" s="9">
        <v>251.04</v>
      </c>
      <c r="S319" s="9" t="s">
        <v>89</v>
      </c>
      <c r="T319" s="9" t="s">
        <v>157</v>
      </c>
      <c r="U319" s="9" t="b">
        <v>0</v>
      </c>
    </row>
    <row r="320" spans="1:21" x14ac:dyDescent="0.25">
      <c r="A320" s="9">
        <v>5847</v>
      </c>
      <c r="B320" s="9" t="s">
        <v>85</v>
      </c>
      <c r="C320" s="9" t="s">
        <v>85</v>
      </c>
      <c r="D320" s="9" t="s">
        <v>107</v>
      </c>
      <c r="E320" s="9">
        <v>2020</v>
      </c>
      <c r="F320" s="9">
        <v>2021</v>
      </c>
      <c r="G320" s="9">
        <v>1</v>
      </c>
      <c r="H320" s="9">
        <v>171568.4</v>
      </c>
      <c r="I320" s="9">
        <v>80576.289999999994</v>
      </c>
      <c r="J320" s="9"/>
      <c r="K320" s="9">
        <v>1910.65</v>
      </c>
      <c r="L320" s="9">
        <v>207.36</v>
      </c>
      <c r="M320" s="9">
        <v>252352.05</v>
      </c>
      <c r="N320" s="9">
        <v>67.989999999999995</v>
      </c>
      <c r="O320" s="9">
        <v>172210.75</v>
      </c>
      <c r="P320" s="9" t="s">
        <v>106</v>
      </c>
      <c r="Q320" s="9">
        <v>0.12039999999999999</v>
      </c>
      <c r="R320" s="9">
        <v>207.36</v>
      </c>
      <c r="S320" s="9" t="s">
        <v>89</v>
      </c>
      <c r="T320" s="9" t="s">
        <v>157</v>
      </c>
      <c r="U320" s="9" t="b">
        <v>0</v>
      </c>
    </row>
    <row r="321" spans="1:21" x14ac:dyDescent="0.25">
      <c r="A321" s="9">
        <v>5847</v>
      </c>
      <c r="B321" s="9" t="s">
        <v>85</v>
      </c>
      <c r="C321" s="9" t="s">
        <v>85</v>
      </c>
      <c r="D321" s="9" t="s">
        <v>108</v>
      </c>
      <c r="E321" s="9">
        <v>2021</v>
      </c>
      <c r="F321" s="9">
        <v>2022</v>
      </c>
      <c r="G321" s="9">
        <v>1</v>
      </c>
      <c r="H321" s="9">
        <v>170545.94</v>
      </c>
      <c r="I321" s="9">
        <v>80957.83</v>
      </c>
      <c r="J321" s="9"/>
      <c r="K321" s="9">
        <v>2497.02</v>
      </c>
      <c r="L321" s="9">
        <v>262.83999999999997</v>
      </c>
      <c r="M321" s="9">
        <v>251766.62</v>
      </c>
      <c r="N321" s="9">
        <v>67.739999999999995</v>
      </c>
      <c r="O321" s="9">
        <v>171568.4</v>
      </c>
      <c r="P321" s="9" t="s">
        <v>107</v>
      </c>
      <c r="Q321" s="9">
        <v>0.1532</v>
      </c>
      <c r="R321" s="9">
        <v>262.83999999999997</v>
      </c>
      <c r="S321" s="9" t="s">
        <v>89</v>
      </c>
      <c r="T321" s="9" t="s">
        <v>157</v>
      </c>
      <c r="U321" s="9" t="b">
        <v>0</v>
      </c>
    </row>
    <row r="322" spans="1:21" x14ac:dyDescent="0.25">
      <c r="A322" s="9">
        <v>5847</v>
      </c>
      <c r="B322" s="9" t="s">
        <v>85</v>
      </c>
      <c r="C322" s="9" t="s">
        <v>85</v>
      </c>
      <c r="D322" s="9" t="s">
        <v>109</v>
      </c>
      <c r="E322" s="9">
        <v>2022</v>
      </c>
      <c r="F322" s="9">
        <v>2023</v>
      </c>
      <c r="G322" s="9">
        <v>1</v>
      </c>
      <c r="H322" s="9">
        <v>172329.95</v>
      </c>
      <c r="I322" s="9">
        <v>81555.06</v>
      </c>
      <c r="J322" s="9"/>
      <c r="K322" s="9">
        <v>0.23</v>
      </c>
      <c r="L322" s="9">
        <v>337.03</v>
      </c>
      <c r="M322" s="9">
        <v>254222.04</v>
      </c>
      <c r="N322" s="9">
        <v>67.790000000000006</v>
      </c>
      <c r="O322" s="9">
        <v>170545.94</v>
      </c>
      <c r="P322" s="9" t="s">
        <v>108</v>
      </c>
      <c r="Q322" s="9">
        <v>0.1976</v>
      </c>
      <c r="R322" s="9">
        <v>337.03</v>
      </c>
      <c r="S322" s="9" t="s">
        <v>89</v>
      </c>
      <c r="T322" s="9" t="s">
        <v>157</v>
      </c>
      <c r="U322" s="9" t="b">
        <v>0</v>
      </c>
    </row>
    <row r="323" spans="1:21" x14ac:dyDescent="0.25">
      <c r="A323" s="9">
        <v>5847</v>
      </c>
      <c r="B323" s="9" t="s">
        <v>85</v>
      </c>
      <c r="C323" s="9" t="s">
        <v>85</v>
      </c>
      <c r="D323" s="9" t="s">
        <v>110</v>
      </c>
      <c r="E323" s="9">
        <v>2023</v>
      </c>
      <c r="F323" s="9">
        <v>2024</v>
      </c>
      <c r="G323" s="9">
        <v>1</v>
      </c>
      <c r="H323" s="9"/>
      <c r="I323" s="9"/>
      <c r="J323" s="9"/>
      <c r="K323" s="9"/>
      <c r="L323" s="9">
        <v>398.75</v>
      </c>
      <c r="M323" s="9"/>
      <c r="N323" s="9"/>
      <c r="O323" s="9">
        <v>172329.95</v>
      </c>
      <c r="P323" s="9" t="s">
        <v>109</v>
      </c>
      <c r="Q323" s="9">
        <v>0.23139999999999999</v>
      </c>
      <c r="R323" s="9">
        <v>398.75</v>
      </c>
      <c r="S323" s="9" t="s">
        <v>105</v>
      </c>
      <c r="T323" s="9" t="s">
        <v>158</v>
      </c>
      <c r="U323" s="9" t="b">
        <v>1</v>
      </c>
    </row>
    <row r="324" spans="1:21" x14ac:dyDescent="0.25">
      <c r="A324" s="9">
        <v>5873</v>
      </c>
      <c r="B324" s="9" t="s">
        <v>87</v>
      </c>
      <c r="C324" s="9" t="s">
        <v>69</v>
      </c>
      <c r="D324" s="9" t="s">
        <v>41</v>
      </c>
      <c r="E324" s="9">
        <v>2000</v>
      </c>
      <c r="F324" s="9">
        <v>2002</v>
      </c>
      <c r="G324" s="9">
        <v>2</v>
      </c>
      <c r="H324" s="9">
        <v>141239.81</v>
      </c>
      <c r="I324" s="9">
        <v>16115.37</v>
      </c>
      <c r="J324" s="9">
        <v>17.29</v>
      </c>
      <c r="K324" s="9">
        <v>8359.19</v>
      </c>
      <c r="L324" s="9">
        <v>125.38</v>
      </c>
      <c r="M324" s="9">
        <v>157497.85999999999</v>
      </c>
      <c r="N324" s="9">
        <v>89.68</v>
      </c>
      <c r="O324" s="9"/>
      <c r="P324" s="9"/>
      <c r="Q324" s="9"/>
      <c r="R324" s="9">
        <v>108.09</v>
      </c>
      <c r="S324" s="9" t="s">
        <v>43</v>
      </c>
      <c r="T324" s="9" t="s">
        <v>156</v>
      </c>
      <c r="U324" s="9" t="b">
        <v>0</v>
      </c>
    </row>
    <row r="325" spans="1:21" x14ac:dyDescent="0.25">
      <c r="A325" s="9">
        <v>5873</v>
      </c>
      <c r="B325" s="9" t="s">
        <v>87</v>
      </c>
      <c r="C325" s="9" t="s">
        <v>69</v>
      </c>
      <c r="D325" s="9" t="s">
        <v>88</v>
      </c>
      <c r="E325" s="9">
        <v>2002</v>
      </c>
      <c r="F325" s="9">
        <v>2004</v>
      </c>
      <c r="G325" s="9">
        <v>2</v>
      </c>
      <c r="H325" s="9">
        <v>140983.95000000001</v>
      </c>
      <c r="I325" s="9">
        <v>15731.94</v>
      </c>
      <c r="J325" s="9"/>
      <c r="K325" s="9">
        <v>8678.61</v>
      </c>
      <c r="L325" s="9">
        <v>47.14</v>
      </c>
      <c r="M325" s="9">
        <v>156763.01999999999</v>
      </c>
      <c r="N325" s="9">
        <v>89.93</v>
      </c>
      <c r="O325" s="9">
        <v>141239.81</v>
      </c>
      <c r="P325" s="9" t="s">
        <v>41</v>
      </c>
      <c r="Q325" s="9">
        <v>1.67E-2</v>
      </c>
      <c r="R325" s="9">
        <v>47.14</v>
      </c>
      <c r="S325" s="9" t="s">
        <v>89</v>
      </c>
      <c r="T325" s="9" t="s">
        <v>157</v>
      </c>
      <c r="U325" s="9" t="b">
        <v>0</v>
      </c>
    </row>
    <row r="326" spans="1:21" x14ac:dyDescent="0.25">
      <c r="A326" s="9">
        <v>5873</v>
      </c>
      <c r="B326" s="9" t="s">
        <v>87</v>
      </c>
      <c r="C326" s="9" t="s">
        <v>69</v>
      </c>
      <c r="D326" s="9" t="s">
        <v>90</v>
      </c>
      <c r="E326" s="9">
        <v>2004</v>
      </c>
      <c r="F326" s="9">
        <v>2006</v>
      </c>
      <c r="G326" s="9">
        <v>2</v>
      </c>
      <c r="H326" s="9">
        <v>141486.91</v>
      </c>
      <c r="I326" s="9">
        <v>15595.69</v>
      </c>
      <c r="J326" s="9"/>
      <c r="K326" s="9">
        <v>8258.5400000000009</v>
      </c>
      <c r="L326" s="9">
        <v>101.31</v>
      </c>
      <c r="M326" s="9">
        <v>157183.91</v>
      </c>
      <c r="N326" s="9">
        <v>90.01</v>
      </c>
      <c r="O326" s="9">
        <v>140983.95000000001</v>
      </c>
      <c r="P326" s="9" t="s">
        <v>88</v>
      </c>
      <c r="Q326" s="9">
        <v>3.5900000000000001E-2</v>
      </c>
      <c r="R326" s="9">
        <v>101.31</v>
      </c>
      <c r="S326" s="9" t="s">
        <v>89</v>
      </c>
      <c r="T326" s="9" t="s">
        <v>157</v>
      </c>
      <c r="U326" s="9" t="b">
        <v>0</v>
      </c>
    </row>
    <row r="327" spans="1:21" x14ac:dyDescent="0.25">
      <c r="A327" s="9">
        <v>5873</v>
      </c>
      <c r="B327" s="9" t="s">
        <v>87</v>
      </c>
      <c r="C327" s="9" t="s">
        <v>69</v>
      </c>
      <c r="D327" s="9" t="s">
        <v>91</v>
      </c>
      <c r="E327" s="9">
        <v>2006</v>
      </c>
      <c r="F327" s="9">
        <v>2008</v>
      </c>
      <c r="G327" s="9">
        <v>2</v>
      </c>
      <c r="H327" s="9">
        <v>141182.64000000001</v>
      </c>
      <c r="I327" s="9">
        <v>15646.07</v>
      </c>
      <c r="J327" s="9">
        <v>0.85</v>
      </c>
      <c r="K327" s="9">
        <v>8603.5</v>
      </c>
      <c r="L327" s="9">
        <v>9.27</v>
      </c>
      <c r="M327" s="9">
        <v>156838.84</v>
      </c>
      <c r="N327" s="9">
        <v>90.02</v>
      </c>
      <c r="O327" s="9">
        <v>141486.91</v>
      </c>
      <c r="P327" s="9" t="s">
        <v>90</v>
      </c>
      <c r="Q327" s="9">
        <v>3.3E-3</v>
      </c>
      <c r="R327" s="9">
        <v>8.42</v>
      </c>
      <c r="S327" s="9" t="s">
        <v>89</v>
      </c>
      <c r="T327" s="9" t="s">
        <v>157</v>
      </c>
      <c r="U327" s="9" t="b">
        <v>0</v>
      </c>
    </row>
    <row r="328" spans="1:21" x14ac:dyDescent="0.25">
      <c r="A328" s="9">
        <v>5873</v>
      </c>
      <c r="B328" s="9" t="s">
        <v>87</v>
      </c>
      <c r="C328" s="9" t="s">
        <v>69</v>
      </c>
      <c r="D328" s="9" t="s">
        <v>92</v>
      </c>
      <c r="E328" s="9">
        <v>2008</v>
      </c>
      <c r="F328" s="9">
        <v>2010</v>
      </c>
      <c r="G328" s="9">
        <v>2</v>
      </c>
      <c r="H328" s="9">
        <v>143721.70000000001</v>
      </c>
      <c r="I328" s="9">
        <v>15718.95</v>
      </c>
      <c r="J328" s="9"/>
      <c r="K328" s="9">
        <v>5934.82</v>
      </c>
      <c r="L328" s="9">
        <v>68.739999999999995</v>
      </c>
      <c r="M328" s="9">
        <v>159509.38</v>
      </c>
      <c r="N328" s="9">
        <v>90.1</v>
      </c>
      <c r="O328" s="9">
        <v>141182.64000000001</v>
      </c>
      <c r="P328" s="9" t="s">
        <v>91</v>
      </c>
      <c r="Q328" s="9">
        <v>2.4299999999999999E-2</v>
      </c>
      <c r="R328" s="9">
        <v>68.739999999999995</v>
      </c>
      <c r="S328" s="9" t="s">
        <v>89</v>
      </c>
      <c r="T328" s="9" t="s">
        <v>157</v>
      </c>
      <c r="U328" s="9" t="b">
        <v>0</v>
      </c>
    </row>
    <row r="329" spans="1:21" x14ac:dyDescent="0.25">
      <c r="A329" s="9">
        <v>5873</v>
      </c>
      <c r="B329" s="9" t="s">
        <v>87</v>
      </c>
      <c r="C329" s="9" t="s">
        <v>69</v>
      </c>
      <c r="D329" s="9" t="s">
        <v>93</v>
      </c>
      <c r="E329" s="9">
        <v>2010</v>
      </c>
      <c r="F329" s="9">
        <v>2012</v>
      </c>
      <c r="G329" s="9">
        <v>2</v>
      </c>
      <c r="H329" s="9"/>
      <c r="I329" s="9"/>
      <c r="J329" s="9"/>
      <c r="K329" s="9"/>
      <c r="L329" s="9">
        <v>49.88</v>
      </c>
      <c r="M329" s="9"/>
      <c r="N329" s="9"/>
      <c r="O329" s="9">
        <v>143721.70000000001</v>
      </c>
      <c r="P329" s="9" t="s">
        <v>92</v>
      </c>
      <c r="Q329" s="9">
        <v>1.7399999999999999E-2</v>
      </c>
      <c r="R329" s="9">
        <v>49.88</v>
      </c>
      <c r="S329" s="9" t="s">
        <v>94</v>
      </c>
      <c r="T329" s="9" t="s">
        <v>158</v>
      </c>
      <c r="U329" s="9" t="b">
        <v>1</v>
      </c>
    </row>
    <row r="330" spans="1:21" x14ac:dyDescent="0.25">
      <c r="A330" s="9">
        <v>5873</v>
      </c>
      <c r="B330" s="9" t="s">
        <v>87</v>
      </c>
      <c r="C330" s="9" t="s">
        <v>69</v>
      </c>
      <c r="D330" s="9" t="s">
        <v>96</v>
      </c>
      <c r="E330" s="9">
        <v>2012</v>
      </c>
      <c r="F330" s="9">
        <v>2013</v>
      </c>
      <c r="G330" s="9">
        <v>1</v>
      </c>
      <c r="H330" s="9">
        <v>140158.49</v>
      </c>
      <c r="I330" s="9">
        <v>19010.560000000001</v>
      </c>
      <c r="J330" s="9"/>
      <c r="K330" s="9">
        <v>6559.61</v>
      </c>
      <c r="L330" s="9">
        <v>25.1</v>
      </c>
      <c r="M330" s="9">
        <v>159194.15</v>
      </c>
      <c r="N330" s="9">
        <v>88.04</v>
      </c>
      <c r="O330" s="9">
        <v>143721.70000000001</v>
      </c>
      <c r="P330" s="9" t="s">
        <v>92</v>
      </c>
      <c r="Q330" s="9">
        <v>1.7500000000000002E-2</v>
      </c>
      <c r="R330" s="9">
        <v>25.1</v>
      </c>
      <c r="S330" s="9" t="s">
        <v>97</v>
      </c>
      <c r="T330" s="9" t="s">
        <v>159</v>
      </c>
      <c r="U330" s="9" t="b">
        <v>0</v>
      </c>
    </row>
    <row r="331" spans="1:21" x14ac:dyDescent="0.25">
      <c r="A331" s="9">
        <v>5873</v>
      </c>
      <c r="B331" s="9" t="s">
        <v>87</v>
      </c>
      <c r="C331" s="9" t="s">
        <v>69</v>
      </c>
      <c r="D331" s="9" t="s">
        <v>98</v>
      </c>
      <c r="E331" s="9">
        <v>2013</v>
      </c>
      <c r="F331" s="9">
        <v>2014</v>
      </c>
      <c r="G331" s="9">
        <v>1</v>
      </c>
      <c r="H331" s="9">
        <v>144386.94</v>
      </c>
      <c r="I331" s="9">
        <v>21086</v>
      </c>
      <c r="J331" s="9"/>
      <c r="K331" s="9">
        <v>232.56</v>
      </c>
      <c r="L331" s="9">
        <v>75.510000000000005</v>
      </c>
      <c r="M331" s="9">
        <v>165548.45000000001</v>
      </c>
      <c r="N331" s="9">
        <v>87.22</v>
      </c>
      <c r="O331" s="9">
        <v>140158.49</v>
      </c>
      <c r="P331" s="9" t="s">
        <v>96</v>
      </c>
      <c r="Q331" s="9">
        <v>5.3900000000000003E-2</v>
      </c>
      <c r="R331" s="9">
        <v>75.510000000000005</v>
      </c>
      <c r="S331" s="9" t="s">
        <v>89</v>
      </c>
      <c r="T331" s="9" t="s">
        <v>157</v>
      </c>
      <c r="U331" s="9" t="b">
        <v>0</v>
      </c>
    </row>
    <row r="332" spans="1:21" x14ac:dyDescent="0.25">
      <c r="A332" s="9">
        <v>5873</v>
      </c>
      <c r="B332" s="9" t="s">
        <v>87</v>
      </c>
      <c r="C332" s="9" t="s">
        <v>69</v>
      </c>
      <c r="D332" s="9" t="s">
        <v>99</v>
      </c>
      <c r="E332" s="9">
        <v>2014</v>
      </c>
      <c r="F332" s="9">
        <v>2015</v>
      </c>
      <c r="G332" s="9">
        <v>1</v>
      </c>
      <c r="H332" s="9">
        <v>138396.07999999999</v>
      </c>
      <c r="I332" s="9">
        <v>20899.07</v>
      </c>
      <c r="J332" s="9"/>
      <c r="K332" s="9">
        <v>6126.77</v>
      </c>
      <c r="L332" s="9">
        <v>14.86</v>
      </c>
      <c r="M332" s="9">
        <v>159310</v>
      </c>
      <c r="N332" s="9">
        <v>86.87</v>
      </c>
      <c r="O332" s="9">
        <v>144386.94</v>
      </c>
      <c r="P332" s="9" t="s">
        <v>98</v>
      </c>
      <c r="Q332" s="9">
        <v>1.03E-2</v>
      </c>
      <c r="R332" s="9">
        <v>14.86</v>
      </c>
      <c r="S332" s="9" t="s">
        <v>43</v>
      </c>
      <c r="T332" s="9" t="s">
        <v>156</v>
      </c>
      <c r="U332" s="9" t="b">
        <v>0</v>
      </c>
    </row>
    <row r="333" spans="1:21" x14ac:dyDescent="0.25">
      <c r="A333" s="9">
        <v>5873</v>
      </c>
      <c r="B333" s="9" t="s">
        <v>87</v>
      </c>
      <c r="C333" s="9" t="s">
        <v>69</v>
      </c>
      <c r="D333" s="9" t="s">
        <v>100</v>
      </c>
      <c r="E333" s="9">
        <v>2015</v>
      </c>
      <c r="F333" s="9">
        <v>2016</v>
      </c>
      <c r="G333" s="9">
        <v>1</v>
      </c>
      <c r="H333" s="9"/>
      <c r="I333" s="9"/>
      <c r="J333" s="9"/>
      <c r="K333" s="9"/>
      <c r="L333" s="9">
        <v>62.82</v>
      </c>
      <c r="M333" s="9"/>
      <c r="N333" s="9"/>
      <c r="O333" s="9">
        <v>138396.07999999999</v>
      </c>
      <c r="P333" s="9" t="s">
        <v>99</v>
      </c>
      <c r="Q333" s="9">
        <v>4.5400000000000003E-2</v>
      </c>
      <c r="R333" s="9">
        <v>62.82</v>
      </c>
      <c r="S333" s="9" t="s">
        <v>105</v>
      </c>
      <c r="T333" s="9" t="s">
        <v>158</v>
      </c>
      <c r="U333" s="9" t="b">
        <v>1</v>
      </c>
    </row>
    <row r="334" spans="1:21" x14ac:dyDescent="0.25">
      <c r="A334" s="9">
        <v>5873</v>
      </c>
      <c r="B334" s="9" t="s">
        <v>87</v>
      </c>
      <c r="C334" s="9" t="s">
        <v>69</v>
      </c>
      <c r="D334" s="9" t="s">
        <v>102</v>
      </c>
      <c r="E334" s="9">
        <v>2016</v>
      </c>
      <c r="F334" s="9">
        <v>2017</v>
      </c>
      <c r="G334" s="9">
        <v>1</v>
      </c>
      <c r="H334" s="9">
        <v>111916.85</v>
      </c>
      <c r="I334" s="9">
        <v>19781.509999999998</v>
      </c>
      <c r="J334" s="9"/>
      <c r="K334" s="9">
        <v>33634.910000000003</v>
      </c>
      <c r="L334" s="9">
        <v>110.78</v>
      </c>
      <c r="M334" s="9">
        <v>131809.14000000001</v>
      </c>
      <c r="N334" s="9">
        <v>84.91</v>
      </c>
      <c r="O334" s="9">
        <v>138396.07999999999</v>
      </c>
      <c r="P334" s="9" t="s">
        <v>99</v>
      </c>
      <c r="Q334" s="9">
        <v>0.08</v>
      </c>
      <c r="R334" s="9">
        <v>110.78</v>
      </c>
      <c r="S334" s="9" t="s">
        <v>89</v>
      </c>
      <c r="T334" s="9" t="s">
        <v>157</v>
      </c>
      <c r="U334" s="9" t="b">
        <v>0</v>
      </c>
    </row>
    <row r="335" spans="1:21" x14ac:dyDescent="0.25">
      <c r="A335" s="9">
        <v>5873</v>
      </c>
      <c r="B335" s="9" t="s">
        <v>87</v>
      </c>
      <c r="C335" s="9" t="s">
        <v>69</v>
      </c>
      <c r="D335" s="9" t="s">
        <v>103</v>
      </c>
      <c r="E335" s="9">
        <v>2017</v>
      </c>
      <c r="F335" s="9">
        <v>2018</v>
      </c>
      <c r="G335" s="9">
        <v>1</v>
      </c>
      <c r="H335" s="9">
        <v>143129.60000000001</v>
      </c>
      <c r="I335" s="9">
        <v>20850.240000000002</v>
      </c>
      <c r="J335" s="9">
        <v>3.46</v>
      </c>
      <c r="K335" s="9">
        <v>1393.32</v>
      </c>
      <c r="L335" s="9">
        <v>67.819999999999993</v>
      </c>
      <c r="M335" s="9">
        <v>164051.13</v>
      </c>
      <c r="N335" s="9">
        <v>87.25</v>
      </c>
      <c r="O335" s="9">
        <v>111916.85</v>
      </c>
      <c r="P335" s="9" t="s">
        <v>102</v>
      </c>
      <c r="Q335" s="9">
        <v>6.0600000000000001E-2</v>
      </c>
      <c r="R335" s="9">
        <v>64.36</v>
      </c>
      <c r="S335" s="9" t="s">
        <v>89</v>
      </c>
      <c r="T335" s="9" t="s">
        <v>157</v>
      </c>
      <c r="U335" s="9" t="b">
        <v>0</v>
      </c>
    </row>
    <row r="336" spans="1:21" x14ac:dyDescent="0.25">
      <c r="A336" s="9">
        <v>5873</v>
      </c>
      <c r="B336" s="9" t="s">
        <v>87</v>
      </c>
      <c r="C336" s="9" t="s">
        <v>69</v>
      </c>
      <c r="D336" s="9" t="s">
        <v>104</v>
      </c>
      <c r="E336" s="9">
        <v>2018</v>
      </c>
      <c r="F336" s="9">
        <v>2019</v>
      </c>
      <c r="G336" s="9">
        <v>1</v>
      </c>
      <c r="H336" s="9"/>
      <c r="I336" s="9"/>
      <c r="J336" s="9"/>
      <c r="K336" s="9"/>
      <c r="L336" s="9">
        <v>78.13</v>
      </c>
      <c r="M336" s="9"/>
      <c r="N336" s="9"/>
      <c r="O336" s="9">
        <v>143129.60000000001</v>
      </c>
      <c r="P336" s="9" t="s">
        <v>103</v>
      </c>
      <c r="Q336" s="9">
        <v>5.4600000000000003E-2</v>
      </c>
      <c r="R336" s="9">
        <v>78.13</v>
      </c>
      <c r="S336" s="9" t="s">
        <v>105</v>
      </c>
      <c r="T336" s="9" t="s">
        <v>158</v>
      </c>
      <c r="U336" s="9" t="b">
        <v>1</v>
      </c>
    </row>
    <row r="337" spans="1:21" x14ac:dyDescent="0.25">
      <c r="A337" s="9">
        <v>5873</v>
      </c>
      <c r="B337" s="9" t="s">
        <v>87</v>
      </c>
      <c r="C337" s="9" t="s">
        <v>69</v>
      </c>
      <c r="D337" s="9" t="s">
        <v>106</v>
      </c>
      <c r="E337" s="9">
        <v>2019</v>
      </c>
      <c r="F337" s="9">
        <v>2020</v>
      </c>
      <c r="G337" s="9">
        <v>1</v>
      </c>
      <c r="H337" s="9">
        <v>140168.18</v>
      </c>
      <c r="I337" s="9">
        <v>21196.98</v>
      </c>
      <c r="J337" s="9"/>
      <c r="K337" s="9">
        <v>3991.04</v>
      </c>
      <c r="L337" s="9">
        <v>88.44</v>
      </c>
      <c r="M337" s="9">
        <v>161453.6</v>
      </c>
      <c r="N337" s="9">
        <v>86.82</v>
      </c>
      <c r="O337" s="9">
        <v>143129.60000000001</v>
      </c>
      <c r="P337" s="9" t="s">
        <v>103</v>
      </c>
      <c r="Q337" s="9">
        <v>6.1800000000000001E-2</v>
      </c>
      <c r="R337" s="9">
        <v>88.44</v>
      </c>
      <c r="S337" s="9" t="s">
        <v>89</v>
      </c>
      <c r="T337" s="9" t="s">
        <v>157</v>
      </c>
      <c r="U337" s="9" t="b">
        <v>0</v>
      </c>
    </row>
    <row r="338" spans="1:21" x14ac:dyDescent="0.25">
      <c r="A338" s="9">
        <v>5873</v>
      </c>
      <c r="B338" s="9" t="s">
        <v>87</v>
      </c>
      <c r="C338" s="9" t="s">
        <v>69</v>
      </c>
      <c r="D338" s="9" t="s">
        <v>107</v>
      </c>
      <c r="E338" s="9">
        <v>2020</v>
      </c>
      <c r="F338" s="9">
        <v>2021</v>
      </c>
      <c r="G338" s="9">
        <v>1</v>
      </c>
      <c r="H338" s="9">
        <v>139456.82999999999</v>
      </c>
      <c r="I338" s="9">
        <v>21305.51</v>
      </c>
      <c r="J338" s="9"/>
      <c r="K338" s="9">
        <v>4582.7299999999996</v>
      </c>
      <c r="L338" s="9">
        <v>99.23</v>
      </c>
      <c r="M338" s="9">
        <v>160861.57</v>
      </c>
      <c r="N338" s="9">
        <v>86.69</v>
      </c>
      <c r="O338" s="9">
        <v>140168.18</v>
      </c>
      <c r="P338" s="9" t="s">
        <v>106</v>
      </c>
      <c r="Q338" s="9">
        <v>7.0800000000000002E-2</v>
      </c>
      <c r="R338" s="9">
        <v>99.23</v>
      </c>
      <c r="S338" s="9" t="s">
        <v>89</v>
      </c>
      <c r="T338" s="9" t="s">
        <v>157</v>
      </c>
      <c r="U338" s="9" t="b">
        <v>0</v>
      </c>
    </row>
    <row r="339" spans="1:21" x14ac:dyDescent="0.25">
      <c r="A339" s="9">
        <v>5873</v>
      </c>
      <c r="B339" s="9" t="s">
        <v>87</v>
      </c>
      <c r="C339" s="9" t="s">
        <v>69</v>
      </c>
      <c r="D339" s="9" t="s">
        <v>108</v>
      </c>
      <c r="E339" s="9">
        <v>2021</v>
      </c>
      <c r="F339" s="9">
        <v>2022</v>
      </c>
      <c r="G339" s="9">
        <v>1</v>
      </c>
      <c r="H339" s="9">
        <v>136033.37</v>
      </c>
      <c r="I339" s="9">
        <v>21482.92</v>
      </c>
      <c r="J339" s="9"/>
      <c r="K339" s="9">
        <v>7822.65</v>
      </c>
      <c r="L339" s="9">
        <v>105.2</v>
      </c>
      <c r="M339" s="9">
        <v>157621.5</v>
      </c>
      <c r="N339" s="9">
        <v>86.3</v>
      </c>
      <c r="O339" s="9">
        <v>139456.82999999999</v>
      </c>
      <c r="P339" s="9" t="s">
        <v>107</v>
      </c>
      <c r="Q339" s="9">
        <v>7.5399999999999995E-2</v>
      </c>
      <c r="R339" s="9">
        <v>105.2</v>
      </c>
      <c r="S339" s="9" t="s">
        <v>89</v>
      </c>
      <c r="T339" s="9" t="s">
        <v>157</v>
      </c>
      <c r="U339" s="9" t="b">
        <v>0</v>
      </c>
    </row>
    <row r="340" spans="1:21" x14ac:dyDescent="0.25">
      <c r="A340" s="9">
        <v>5873</v>
      </c>
      <c r="B340" s="9" t="s">
        <v>87</v>
      </c>
      <c r="C340" s="9" t="s">
        <v>69</v>
      </c>
      <c r="D340" s="9" t="s">
        <v>109</v>
      </c>
      <c r="E340" s="9">
        <v>2022</v>
      </c>
      <c r="F340" s="9">
        <v>2023</v>
      </c>
      <c r="G340" s="9">
        <v>1</v>
      </c>
      <c r="H340" s="9">
        <v>143753.82</v>
      </c>
      <c r="I340" s="9">
        <v>21656.44</v>
      </c>
      <c r="J340" s="9"/>
      <c r="K340" s="9">
        <v>0.88</v>
      </c>
      <c r="L340" s="9">
        <v>33.06</v>
      </c>
      <c r="M340" s="9">
        <v>165443.32</v>
      </c>
      <c r="N340" s="9">
        <v>86.89</v>
      </c>
      <c r="O340" s="9">
        <v>136033.37</v>
      </c>
      <c r="P340" s="9" t="s">
        <v>108</v>
      </c>
      <c r="Q340" s="9">
        <v>2.4299999999999999E-2</v>
      </c>
      <c r="R340" s="9">
        <v>33.06</v>
      </c>
      <c r="S340" s="9" t="s">
        <v>89</v>
      </c>
      <c r="T340" s="9" t="s">
        <v>157</v>
      </c>
      <c r="U340" s="9" t="b">
        <v>0</v>
      </c>
    </row>
    <row r="341" spans="1:21" x14ac:dyDescent="0.25">
      <c r="A341" s="9">
        <v>5873</v>
      </c>
      <c r="B341" s="9" t="s">
        <v>87</v>
      </c>
      <c r="C341" s="9" t="s">
        <v>69</v>
      </c>
      <c r="D341" s="9" t="s">
        <v>110</v>
      </c>
      <c r="E341" s="9">
        <v>2023</v>
      </c>
      <c r="F341" s="9">
        <v>2024</v>
      </c>
      <c r="G341" s="9">
        <v>1</v>
      </c>
      <c r="H341" s="9"/>
      <c r="I341" s="9"/>
      <c r="J341" s="9"/>
      <c r="K341" s="9"/>
      <c r="L341" s="9">
        <v>12.99</v>
      </c>
      <c r="M341" s="9"/>
      <c r="N341" s="9"/>
      <c r="O341" s="9">
        <v>143753.82</v>
      </c>
      <c r="P341" s="9" t="s">
        <v>109</v>
      </c>
      <c r="Q341" s="9">
        <v>8.9999999999999993E-3</v>
      </c>
      <c r="R341" s="9">
        <v>12.99</v>
      </c>
      <c r="S341" s="9" t="s">
        <v>105</v>
      </c>
      <c r="T341" s="9" t="s">
        <v>158</v>
      </c>
      <c r="U341" s="9" t="b">
        <v>1</v>
      </c>
    </row>
  </sheetData>
  <autoFilter ref="A1:U34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45" customWidth="1"/>
    <col min="3" max="3" width="14" customWidth="1"/>
    <col min="4" max="4" width="12" customWidth="1"/>
    <col min="5" max="5" width="14" customWidth="1"/>
    <col min="6" max="6" width="90" customWidth="1"/>
  </cols>
  <sheetData>
    <row r="1" spans="1:6" x14ac:dyDescent="0.25">
      <c r="A1" s="7" t="s">
        <v>161</v>
      </c>
      <c r="B1" s="7" t="s">
        <v>162</v>
      </c>
      <c r="C1" s="7" t="s">
        <v>163</v>
      </c>
      <c r="D1" s="7" t="s">
        <v>164</v>
      </c>
      <c r="E1" s="7" t="s">
        <v>30</v>
      </c>
      <c r="F1" s="7" t="s">
        <v>165</v>
      </c>
    </row>
    <row r="2" spans="1:6" ht="45" x14ac:dyDescent="0.25">
      <c r="A2" s="9" t="s">
        <v>166</v>
      </c>
      <c r="B2" s="9" t="s">
        <v>167</v>
      </c>
      <c r="C2" s="9">
        <v>40.6</v>
      </c>
      <c r="D2" s="9" t="s">
        <v>168</v>
      </c>
      <c r="E2" s="9" t="s">
        <v>169</v>
      </c>
      <c r="F2" s="30" t="s">
        <v>170</v>
      </c>
    </row>
    <row r="3" spans="1:6" ht="45" x14ac:dyDescent="0.25">
      <c r="A3" s="9" t="s">
        <v>171</v>
      </c>
      <c r="B3" s="9" t="s">
        <v>172</v>
      </c>
      <c r="C3" s="9">
        <v>37809</v>
      </c>
      <c r="D3" s="9" t="s">
        <v>173</v>
      </c>
      <c r="E3" s="9" t="s">
        <v>174</v>
      </c>
      <c r="F3" s="30" t="s">
        <v>175</v>
      </c>
    </row>
    <row r="4" spans="1:6" ht="45" x14ac:dyDescent="0.25">
      <c r="A4" s="9" t="s">
        <v>176</v>
      </c>
      <c r="B4" s="9" t="s">
        <v>177</v>
      </c>
      <c r="C4" s="9">
        <v>78.900000000000006</v>
      </c>
      <c r="D4" s="9" t="s">
        <v>178</v>
      </c>
      <c r="E4" s="9" t="s">
        <v>179</v>
      </c>
      <c r="F4" s="30" t="s">
        <v>180</v>
      </c>
    </row>
    <row r="5" spans="1:6" ht="45" x14ac:dyDescent="0.25">
      <c r="A5" s="9" t="s">
        <v>171</v>
      </c>
      <c r="B5" s="9" t="s">
        <v>181</v>
      </c>
      <c r="C5" s="9">
        <v>18424</v>
      </c>
      <c r="D5" s="9" t="s">
        <v>182</v>
      </c>
      <c r="E5" s="9" t="s">
        <v>174</v>
      </c>
      <c r="F5" s="30" t="s">
        <v>183</v>
      </c>
    </row>
    <row r="6" spans="1:6" ht="45" x14ac:dyDescent="0.25">
      <c r="A6" s="9" t="s">
        <v>184</v>
      </c>
      <c r="B6" s="9" t="s">
        <v>185</v>
      </c>
      <c r="C6" s="9">
        <v>3362</v>
      </c>
      <c r="D6" s="9" t="s">
        <v>186</v>
      </c>
      <c r="E6" s="9" t="s">
        <v>179</v>
      </c>
      <c r="F6" s="30" t="s">
        <v>187</v>
      </c>
    </row>
    <row r="7" spans="1:6" ht="45" x14ac:dyDescent="0.25">
      <c r="A7" s="9" t="s">
        <v>171</v>
      </c>
      <c r="B7" s="9" t="s">
        <v>188</v>
      </c>
      <c r="C7" s="9">
        <v>2.1</v>
      </c>
      <c r="D7" s="9" t="s">
        <v>189</v>
      </c>
      <c r="E7" s="9" t="s">
        <v>174</v>
      </c>
      <c r="F7" s="30" t="s">
        <v>190</v>
      </c>
    </row>
    <row r="8" spans="1:6" ht="45" x14ac:dyDescent="0.25">
      <c r="A8" s="9" t="s">
        <v>191</v>
      </c>
      <c r="B8" s="9" t="s">
        <v>192</v>
      </c>
      <c r="C8" s="9">
        <v>6333</v>
      </c>
      <c r="D8" s="9" t="s">
        <v>193</v>
      </c>
      <c r="E8" s="9" t="s">
        <v>174</v>
      </c>
      <c r="F8" s="30" t="s">
        <v>194</v>
      </c>
    </row>
    <row r="9" spans="1:6" ht="45" x14ac:dyDescent="0.25">
      <c r="A9" s="9" t="s">
        <v>166</v>
      </c>
      <c r="B9" s="9" t="s">
        <v>195</v>
      </c>
      <c r="C9" s="9">
        <v>3478</v>
      </c>
      <c r="D9" s="9" t="s">
        <v>196</v>
      </c>
      <c r="E9" s="9" t="s">
        <v>179</v>
      </c>
      <c r="F9" s="30" t="s">
        <v>197</v>
      </c>
    </row>
    <row r="10" spans="1:6" ht="45" x14ac:dyDescent="0.25">
      <c r="A10" s="9" t="s">
        <v>176</v>
      </c>
      <c r="B10" s="9" t="s">
        <v>198</v>
      </c>
      <c r="C10" s="9">
        <v>11</v>
      </c>
      <c r="D10" s="9" t="s">
        <v>199</v>
      </c>
      <c r="E10" s="9" t="s">
        <v>179</v>
      </c>
      <c r="F10" s="30" t="s">
        <v>200</v>
      </c>
    </row>
    <row r="11" spans="1:6" ht="45" x14ac:dyDescent="0.25">
      <c r="A11" s="9" t="s">
        <v>166</v>
      </c>
      <c r="B11" s="9" t="s">
        <v>201</v>
      </c>
      <c r="C11" s="9">
        <v>1255</v>
      </c>
      <c r="D11" s="9" t="s">
        <v>193</v>
      </c>
      <c r="E11" s="9" t="s">
        <v>179</v>
      </c>
      <c r="F11" s="30" t="s">
        <v>202</v>
      </c>
    </row>
    <row r="12" spans="1:6" ht="60" x14ac:dyDescent="0.25">
      <c r="A12" s="9" t="s">
        <v>176</v>
      </c>
      <c r="B12" s="9" t="s">
        <v>203</v>
      </c>
      <c r="C12" s="9">
        <v>19023</v>
      </c>
      <c r="D12" s="9" t="s">
        <v>204</v>
      </c>
      <c r="E12" s="9" t="s">
        <v>179</v>
      </c>
      <c r="F12" s="30" t="s">
        <v>205</v>
      </c>
    </row>
    <row r="13" spans="1:6" ht="60" x14ac:dyDescent="0.25">
      <c r="A13" s="9" t="s">
        <v>171</v>
      </c>
      <c r="B13" s="9" t="s">
        <v>206</v>
      </c>
      <c r="C13" s="9">
        <v>3</v>
      </c>
      <c r="D13" s="9" t="s">
        <v>207</v>
      </c>
      <c r="E13" s="9" t="s">
        <v>208</v>
      </c>
      <c r="F13" s="30" t="s">
        <v>209</v>
      </c>
    </row>
    <row r="14" spans="1:6" ht="45" x14ac:dyDescent="0.25">
      <c r="A14" s="9" t="s">
        <v>184</v>
      </c>
      <c r="B14" s="9" t="s">
        <v>210</v>
      </c>
      <c r="C14" s="9">
        <v>730</v>
      </c>
      <c r="D14" s="9" t="s">
        <v>211</v>
      </c>
      <c r="E14" s="9" t="s">
        <v>100</v>
      </c>
      <c r="F14" s="30" t="s">
        <v>212</v>
      </c>
    </row>
    <row r="15" spans="1:6" ht="45" x14ac:dyDescent="0.25">
      <c r="A15" s="9" t="s">
        <v>191</v>
      </c>
      <c r="B15" s="9" t="s">
        <v>213</v>
      </c>
      <c r="C15" s="9">
        <v>11642</v>
      </c>
      <c r="D15" s="9" t="s">
        <v>214</v>
      </c>
      <c r="E15" s="9" t="s">
        <v>174</v>
      </c>
      <c r="F15" s="30" t="s">
        <v>215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0"/>
  <sheetViews>
    <sheetView workbookViewId="0"/>
  </sheetViews>
  <sheetFormatPr baseColWidth="10" defaultColWidth="9.140625" defaultRowHeight="15" x14ac:dyDescent="0.25"/>
  <cols>
    <col min="1" max="1" width="52" customWidth="1"/>
    <col min="2" max="2" width="34" customWidth="1"/>
    <col min="3" max="3" width="18" customWidth="1"/>
  </cols>
  <sheetData>
    <row r="1" spans="1:3" ht="18.75" x14ac:dyDescent="0.3">
      <c r="A1" s="5" t="s">
        <v>216</v>
      </c>
    </row>
    <row r="3" spans="1:3" x14ac:dyDescent="0.25">
      <c r="A3" s="6" t="s">
        <v>217</v>
      </c>
    </row>
    <row r="4" spans="1:3" x14ac:dyDescent="0.25">
      <c r="A4" s="31" t="s">
        <v>218</v>
      </c>
      <c r="B4" s="31" t="s">
        <v>219</v>
      </c>
      <c r="C4" s="31" t="s">
        <v>123</v>
      </c>
    </row>
    <row r="5" spans="1:3" x14ac:dyDescent="0.25">
      <c r="A5" s="9" t="s">
        <v>220</v>
      </c>
      <c r="B5" s="9" t="s">
        <v>221</v>
      </c>
      <c r="C5" s="11">
        <v>2165.9</v>
      </c>
    </row>
    <row r="6" spans="1:3" x14ac:dyDescent="0.25">
      <c r="A6" s="9" t="s">
        <v>222</v>
      </c>
      <c r="B6" s="9" t="s">
        <v>223</v>
      </c>
      <c r="C6" s="11">
        <v>528.70000000000005</v>
      </c>
    </row>
    <row r="7" spans="1:3" x14ac:dyDescent="0.25">
      <c r="A7" s="9" t="s">
        <v>224</v>
      </c>
      <c r="B7" s="9" t="s">
        <v>221</v>
      </c>
      <c r="C7" s="11">
        <v>447.4</v>
      </c>
    </row>
    <row r="8" spans="1:3" x14ac:dyDescent="0.25">
      <c r="A8" s="9" t="s">
        <v>225</v>
      </c>
      <c r="B8" s="9" t="s">
        <v>226</v>
      </c>
      <c r="C8" s="11">
        <v>342.8</v>
      </c>
    </row>
    <row r="9" spans="1:3" x14ac:dyDescent="0.25">
      <c r="A9" s="9" t="s">
        <v>227</v>
      </c>
      <c r="B9" s="9" t="s">
        <v>223</v>
      </c>
      <c r="C9" s="11">
        <v>121</v>
      </c>
    </row>
    <row r="10" spans="1:3" x14ac:dyDescent="0.25">
      <c r="A10" s="9" t="s">
        <v>228</v>
      </c>
      <c r="B10" s="9" t="s">
        <v>223</v>
      </c>
      <c r="C10" s="11">
        <v>119.9</v>
      </c>
    </row>
    <row r="11" spans="1:3" x14ac:dyDescent="0.25">
      <c r="A11" s="9" t="s">
        <v>75</v>
      </c>
      <c r="B11" s="9" t="s">
        <v>229</v>
      </c>
      <c r="C11" s="11">
        <v>57.7</v>
      </c>
    </row>
    <row r="12" spans="1:3" x14ac:dyDescent="0.25">
      <c r="A12" s="9" t="s">
        <v>230</v>
      </c>
      <c r="B12" s="9" t="s">
        <v>231</v>
      </c>
      <c r="C12" s="11">
        <v>16.899999999999999</v>
      </c>
    </row>
    <row r="13" spans="1:3" x14ac:dyDescent="0.25">
      <c r="A13" s="9" t="s">
        <v>232</v>
      </c>
      <c r="B13" s="9" t="s">
        <v>226</v>
      </c>
      <c r="C13" s="11">
        <v>14.9</v>
      </c>
    </row>
    <row r="14" spans="1:3" x14ac:dyDescent="0.25">
      <c r="A14" s="9" t="s">
        <v>233</v>
      </c>
      <c r="B14" s="9" t="s">
        <v>221</v>
      </c>
      <c r="C14" s="11">
        <v>10.8</v>
      </c>
    </row>
    <row r="15" spans="1:3" x14ac:dyDescent="0.25">
      <c r="A15" s="9" t="s">
        <v>234</v>
      </c>
      <c r="B15" s="9" t="s">
        <v>226</v>
      </c>
      <c r="C15" s="11">
        <v>8.3000000000000007</v>
      </c>
    </row>
    <row r="16" spans="1:3" x14ac:dyDescent="0.25">
      <c r="A16" s="9" t="s">
        <v>235</v>
      </c>
      <c r="B16" s="9" t="s">
        <v>236</v>
      </c>
      <c r="C16" s="11">
        <v>1</v>
      </c>
    </row>
    <row r="17" spans="1:3" x14ac:dyDescent="0.25">
      <c r="A17" s="9" t="s">
        <v>237</v>
      </c>
      <c r="B17" s="9" t="s">
        <v>236</v>
      </c>
      <c r="C17" s="11">
        <v>0.8</v>
      </c>
    </row>
    <row r="18" spans="1:3" x14ac:dyDescent="0.25">
      <c r="A18" s="9" t="s">
        <v>238</v>
      </c>
      <c r="B18" s="9" t="s">
        <v>236</v>
      </c>
      <c r="C18" s="11">
        <v>0.1</v>
      </c>
    </row>
    <row r="19" spans="1:3" x14ac:dyDescent="0.25">
      <c r="A19" s="9" t="s">
        <v>239</v>
      </c>
      <c r="B19" s="9" t="s">
        <v>236</v>
      </c>
      <c r="C19" s="11">
        <v>0</v>
      </c>
    </row>
    <row r="22" spans="1:3" x14ac:dyDescent="0.25">
      <c r="A22" s="6" t="s">
        <v>240</v>
      </c>
    </row>
    <row r="23" spans="1:3" x14ac:dyDescent="0.25">
      <c r="A23" s="31" t="s">
        <v>241</v>
      </c>
      <c r="B23" s="31"/>
      <c r="C23" s="31" t="s">
        <v>123</v>
      </c>
    </row>
    <row r="24" spans="1:3" x14ac:dyDescent="0.25">
      <c r="A24" s="9" t="s">
        <v>228</v>
      </c>
      <c r="B24" s="9"/>
      <c r="C24" s="11">
        <v>4738.5</v>
      </c>
    </row>
    <row r="25" spans="1:3" x14ac:dyDescent="0.25">
      <c r="A25" s="9" t="s">
        <v>242</v>
      </c>
      <c r="B25" s="9"/>
      <c r="C25" s="11">
        <v>2739.2</v>
      </c>
    </row>
    <row r="26" spans="1:3" x14ac:dyDescent="0.25">
      <c r="A26" s="9" t="s">
        <v>243</v>
      </c>
      <c r="B26" s="9"/>
      <c r="C26" s="11">
        <v>2368.1999999999998</v>
      </c>
    </row>
    <row r="27" spans="1:3" x14ac:dyDescent="0.25">
      <c r="A27" s="9" t="s">
        <v>244</v>
      </c>
      <c r="B27" s="9"/>
      <c r="C27" s="11">
        <v>537.20000000000005</v>
      </c>
    </row>
    <row r="28" spans="1:3" x14ac:dyDescent="0.25">
      <c r="A28" s="9" t="s">
        <v>245</v>
      </c>
      <c r="B28" s="9"/>
      <c r="C28" s="11">
        <v>234.2</v>
      </c>
    </row>
    <row r="29" spans="1:3" x14ac:dyDescent="0.25">
      <c r="A29" s="9" t="s">
        <v>246</v>
      </c>
      <c r="B29" s="9"/>
      <c r="C29" s="11">
        <v>58.3</v>
      </c>
    </row>
    <row r="30" spans="1:3" x14ac:dyDescent="0.25">
      <c r="A30" s="9" t="s">
        <v>247</v>
      </c>
      <c r="B30" s="9"/>
      <c r="C30" s="11">
        <v>42.7</v>
      </c>
    </row>
    <row r="33" spans="1:3" x14ac:dyDescent="0.25">
      <c r="A33" s="6" t="s">
        <v>248</v>
      </c>
    </row>
    <row r="34" spans="1:3" x14ac:dyDescent="0.25">
      <c r="A34" s="31" t="s">
        <v>249</v>
      </c>
      <c r="B34" s="31" t="s">
        <v>250</v>
      </c>
      <c r="C34" s="31" t="s">
        <v>123</v>
      </c>
    </row>
    <row r="35" spans="1:3" x14ac:dyDescent="0.25">
      <c r="A35" s="9" t="s">
        <v>251</v>
      </c>
      <c r="B35" s="9" t="s">
        <v>252</v>
      </c>
      <c r="C35" s="11">
        <v>576.6</v>
      </c>
    </row>
    <row r="36" spans="1:3" x14ac:dyDescent="0.25">
      <c r="A36" s="9" t="s">
        <v>253</v>
      </c>
      <c r="B36" s="9" t="s">
        <v>252</v>
      </c>
      <c r="C36" s="11">
        <v>557.79999999999995</v>
      </c>
    </row>
    <row r="37" spans="1:3" x14ac:dyDescent="0.25">
      <c r="A37" s="9" t="s">
        <v>254</v>
      </c>
      <c r="B37" s="9" t="s">
        <v>252</v>
      </c>
      <c r="C37" s="11">
        <v>461.6</v>
      </c>
    </row>
    <row r="38" spans="1:3" x14ac:dyDescent="0.25">
      <c r="A38" s="9" t="s">
        <v>255</v>
      </c>
      <c r="B38" s="9" t="s">
        <v>252</v>
      </c>
      <c r="C38" s="11">
        <v>312.2</v>
      </c>
    </row>
    <row r="39" spans="1:3" x14ac:dyDescent="0.25">
      <c r="A39" s="9" t="s">
        <v>256</v>
      </c>
      <c r="B39" s="9" t="s">
        <v>252</v>
      </c>
      <c r="C39" s="11">
        <v>285.2</v>
      </c>
    </row>
    <row r="40" spans="1:3" x14ac:dyDescent="0.25">
      <c r="A40" s="9" t="s">
        <v>257</v>
      </c>
      <c r="B40" s="9" t="s">
        <v>252</v>
      </c>
      <c r="C40" s="11">
        <v>282.60000000000002</v>
      </c>
    </row>
    <row r="41" spans="1:3" x14ac:dyDescent="0.25">
      <c r="A41" s="9" t="s">
        <v>258</v>
      </c>
      <c r="B41" s="9" t="s">
        <v>259</v>
      </c>
      <c r="C41" s="11">
        <v>262.10000000000002</v>
      </c>
    </row>
    <row r="42" spans="1:3" x14ac:dyDescent="0.25">
      <c r="A42" s="9" t="s">
        <v>260</v>
      </c>
      <c r="B42" s="9" t="s">
        <v>252</v>
      </c>
      <c r="C42" s="11">
        <v>216.2</v>
      </c>
    </row>
    <row r="43" spans="1:3" x14ac:dyDescent="0.25">
      <c r="A43" s="9" t="s">
        <v>261</v>
      </c>
      <c r="B43" s="9" t="s">
        <v>262</v>
      </c>
      <c r="C43" s="11">
        <v>203.8</v>
      </c>
    </row>
    <row r="44" spans="1:3" x14ac:dyDescent="0.25">
      <c r="A44" s="9" t="s">
        <v>263</v>
      </c>
      <c r="B44" s="9" t="s">
        <v>262</v>
      </c>
      <c r="C44" s="11">
        <v>184.1</v>
      </c>
    </row>
    <row r="45" spans="1:3" x14ac:dyDescent="0.25">
      <c r="A45" s="9" t="s">
        <v>264</v>
      </c>
      <c r="B45" s="9" t="s">
        <v>262</v>
      </c>
      <c r="C45" s="11">
        <v>172.6</v>
      </c>
    </row>
    <row r="46" spans="1:3" x14ac:dyDescent="0.25">
      <c r="A46" s="9" t="s">
        <v>265</v>
      </c>
      <c r="B46" s="9" t="s">
        <v>252</v>
      </c>
      <c r="C46" s="11">
        <v>165.8</v>
      </c>
    </row>
    <row r="47" spans="1:3" x14ac:dyDescent="0.25">
      <c r="A47" s="9" t="s">
        <v>266</v>
      </c>
      <c r="B47" s="9" t="s">
        <v>252</v>
      </c>
      <c r="C47" s="11">
        <v>111</v>
      </c>
    </row>
    <row r="48" spans="1:3" x14ac:dyDescent="0.25">
      <c r="A48" s="9" t="s">
        <v>267</v>
      </c>
      <c r="B48" s="9" t="s">
        <v>252</v>
      </c>
      <c r="C48" s="11">
        <v>109.9</v>
      </c>
    </row>
    <row r="49" spans="1:3" x14ac:dyDescent="0.25">
      <c r="A49" s="9" t="s">
        <v>268</v>
      </c>
      <c r="B49" s="9" t="s">
        <v>252</v>
      </c>
      <c r="C49" s="11">
        <v>95</v>
      </c>
    </row>
    <row r="50" spans="1:3" x14ac:dyDescent="0.25">
      <c r="A50" s="9" t="s">
        <v>269</v>
      </c>
      <c r="B50" s="9" t="s">
        <v>262</v>
      </c>
      <c r="C50" s="11">
        <v>82.6</v>
      </c>
    </row>
    <row r="51" spans="1:3" x14ac:dyDescent="0.25">
      <c r="A51" s="9" t="s">
        <v>270</v>
      </c>
      <c r="B51" s="9" t="s">
        <v>252</v>
      </c>
      <c r="C51" s="11">
        <v>77.099999999999994</v>
      </c>
    </row>
    <row r="52" spans="1:3" x14ac:dyDescent="0.25">
      <c r="A52" s="9" t="s">
        <v>271</v>
      </c>
      <c r="B52" s="9" t="s">
        <v>252</v>
      </c>
      <c r="C52" s="11">
        <v>50.2</v>
      </c>
    </row>
    <row r="53" spans="1:3" x14ac:dyDescent="0.25">
      <c r="A53" s="9" t="s">
        <v>272</v>
      </c>
      <c r="B53" s="9" t="s">
        <v>262</v>
      </c>
      <c r="C53" s="11">
        <v>32.299999999999997</v>
      </c>
    </row>
    <row r="54" spans="1:3" x14ac:dyDescent="0.25">
      <c r="A54" s="9" t="s">
        <v>273</v>
      </c>
      <c r="B54" s="9" t="s">
        <v>262</v>
      </c>
      <c r="C54" s="11">
        <v>32.200000000000003</v>
      </c>
    </row>
    <row r="55" spans="1:3" x14ac:dyDescent="0.25">
      <c r="A55" s="9" t="s">
        <v>274</v>
      </c>
      <c r="B55" s="9" t="s">
        <v>252</v>
      </c>
      <c r="C55" s="11">
        <v>22.2</v>
      </c>
    </row>
    <row r="56" spans="1:3" x14ac:dyDescent="0.25">
      <c r="A56" s="9" t="s">
        <v>275</v>
      </c>
      <c r="B56" s="9" t="s">
        <v>262</v>
      </c>
      <c r="C56" s="11">
        <v>19.2</v>
      </c>
    </row>
    <row r="57" spans="1:3" x14ac:dyDescent="0.25">
      <c r="A57" s="9" t="s">
        <v>276</v>
      </c>
      <c r="B57" s="9" t="s">
        <v>262</v>
      </c>
      <c r="C57" s="11">
        <v>15</v>
      </c>
    </row>
    <row r="58" spans="1:3" x14ac:dyDescent="0.25">
      <c r="A58" s="9" t="s">
        <v>277</v>
      </c>
      <c r="B58" s="9" t="s">
        <v>252</v>
      </c>
      <c r="C58" s="11">
        <v>6.6</v>
      </c>
    </row>
    <row r="59" spans="1:3" x14ac:dyDescent="0.25">
      <c r="A59" s="9" t="s">
        <v>278</v>
      </c>
      <c r="B59" s="9" t="s">
        <v>252</v>
      </c>
      <c r="C59" s="11">
        <v>6.1</v>
      </c>
    </row>
    <row r="60" spans="1:3" x14ac:dyDescent="0.25">
      <c r="A60" s="9" t="s">
        <v>279</v>
      </c>
      <c r="B60" s="9" t="s">
        <v>252</v>
      </c>
      <c r="C60" s="11">
        <v>3.8</v>
      </c>
    </row>
    <row r="61" spans="1:3" x14ac:dyDescent="0.25">
      <c r="A61" s="9" t="s">
        <v>280</v>
      </c>
      <c r="B61" s="9" t="s">
        <v>262</v>
      </c>
      <c r="C61" s="11">
        <v>1.8</v>
      </c>
    </row>
    <row r="62" spans="1:3" x14ac:dyDescent="0.25">
      <c r="A62" s="9" t="s">
        <v>281</v>
      </c>
      <c r="B62" s="9" t="s">
        <v>252</v>
      </c>
      <c r="C62" s="11">
        <v>1.1000000000000001</v>
      </c>
    </row>
    <row r="63" spans="1:3" x14ac:dyDescent="0.25">
      <c r="A63" s="9" t="s">
        <v>282</v>
      </c>
      <c r="B63" s="9" t="s">
        <v>252</v>
      </c>
      <c r="C63" s="11">
        <v>0.9</v>
      </c>
    </row>
    <row r="64" spans="1:3" x14ac:dyDescent="0.25">
      <c r="A64" s="9" t="s">
        <v>283</v>
      </c>
      <c r="B64" s="9" t="s">
        <v>262</v>
      </c>
      <c r="C64" s="11">
        <v>0.1</v>
      </c>
    </row>
    <row r="65" spans="1:3" x14ac:dyDescent="0.25">
      <c r="A65" s="9" t="s">
        <v>284</v>
      </c>
      <c r="B65" s="9" t="s">
        <v>285</v>
      </c>
      <c r="C65" s="11">
        <v>0.1</v>
      </c>
    </row>
    <row r="66" spans="1:3" x14ac:dyDescent="0.25">
      <c r="A66" s="9" t="s">
        <v>286</v>
      </c>
      <c r="B66" s="9" t="s">
        <v>285</v>
      </c>
      <c r="C66" s="11">
        <v>0</v>
      </c>
    </row>
    <row r="67" spans="1:3" x14ac:dyDescent="0.25">
      <c r="A67" s="9" t="s">
        <v>287</v>
      </c>
      <c r="B67" s="9" t="s">
        <v>285</v>
      </c>
      <c r="C67" s="11">
        <v>0</v>
      </c>
    </row>
    <row r="68" spans="1:3" x14ac:dyDescent="0.25">
      <c r="A68" s="9" t="s">
        <v>288</v>
      </c>
      <c r="B68" s="9" t="s">
        <v>289</v>
      </c>
      <c r="C68" s="11">
        <v>0</v>
      </c>
    </row>
    <row r="69" spans="1:3" x14ac:dyDescent="0.25">
      <c r="A69" s="9" t="s">
        <v>290</v>
      </c>
      <c r="B69" s="9" t="s">
        <v>262</v>
      </c>
      <c r="C69" s="11">
        <v>0</v>
      </c>
    </row>
    <row r="70" spans="1:3" x14ac:dyDescent="0.25">
      <c r="A70" s="9" t="s">
        <v>291</v>
      </c>
      <c r="B70" s="9" t="s">
        <v>252</v>
      </c>
      <c r="C70" s="11">
        <v>0</v>
      </c>
    </row>
    <row r="71" spans="1:3" x14ac:dyDescent="0.25">
      <c r="A71" s="9" t="s">
        <v>292</v>
      </c>
      <c r="B71" s="9" t="s">
        <v>293</v>
      </c>
      <c r="C71" s="11">
        <v>0</v>
      </c>
    </row>
    <row r="72" spans="1:3" x14ac:dyDescent="0.25">
      <c r="A72" s="9" t="s">
        <v>294</v>
      </c>
      <c r="B72" s="9" t="s">
        <v>262</v>
      </c>
      <c r="C72" s="11">
        <v>0</v>
      </c>
    </row>
    <row r="73" spans="1:3" x14ac:dyDescent="0.25">
      <c r="A73" s="9" t="s">
        <v>295</v>
      </c>
      <c r="B73" s="9" t="s">
        <v>252</v>
      </c>
      <c r="C73" s="11">
        <v>0</v>
      </c>
    </row>
    <row r="74" spans="1:3" x14ac:dyDescent="0.25">
      <c r="A74" s="9" t="s">
        <v>296</v>
      </c>
      <c r="B74" s="9" t="s">
        <v>285</v>
      </c>
      <c r="C74" s="11">
        <v>0</v>
      </c>
    </row>
    <row r="77" spans="1:3" x14ac:dyDescent="0.25">
      <c r="A77" s="6" t="s">
        <v>297</v>
      </c>
    </row>
    <row r="78" spans="1:3" x14ac:dyDescent="0.25">
      <c r="A78" s="31" t="s">
        <v>249</v>
      </c>
      <c r="B78" s="31" t="s">
        <v>250</v>
      </c>
      <c r="C78" s="31" t="s">
        <v>123</v>
      </c>
    </row>
    <row r="79" spans="1:3" x14ac:dyDescent="0.25">
      <c r="A79" s="9" t="s">
        <v>298</v>
      </c>
      <c r="B79" s="9" t="s">
        <v>299</v>
      </c>
      <c r="C79" s="11">
        <v>1334.8</v>
      </c>
    </row>
    <row r="80" spans="1:3" x14ac:dyDescent="0.25">
      <c r="A80" s="9" t="s">
        <v>300</v>
      </c>
      <c r="B80" s="9" t="s">
        <v>81</v>
      </c>
      <c r="C80" s="11">
        <v>1057.2</v>
      </c>
    </row>
    <row r="81" spans="1:3" x14ac:dyDescent="0.25">
      <c r="A81" s="9" t="s">
        <v>301</v>
      </c>
      <c r="B81" s="9" t="s">
        <v>68</v>
      </c>
      <c r="C81" s="11">
        <v>360.8</v>
      </c>
    </row>
    <row r="82" spans="1:3" x14ac:dyDescent="0.25">
      <c r="A82" s="9" t="s">
        <v>302</v>
      </c>
      <c r="B82" s="9" t="s">
        <v>303</v>
      </c>
      <c r="C82" s="11">
        <v>266.5</v>
      </c>
    </row>
    <row r="83" spans="1:3" x14ac:dyDescent="0.25">
      <c r="A83" s="9" t="s">
        <v>304</v>
      </c>
      <c r="B83" s="9" t="s">
        <v>81</v>
      </c>
      <c r="C83" s="11">
        <v>164.8</v>
      </c>
    </row>
    <row r="84" spans="1:3" x14ac:dyDescent="0.25">
      <c r="A84" s="9" t="s">
        <v>305</v>
      </c>
      <c r="B84" s="9" t="s">
        <v>81</v>
      </c>
      <c r="C84" s="11">
        <v>30.2</v>
      </c>
    </row>
    <row r="85" spans="1:3" x14ac:dyDescent="0.25">
      <c r="A85" s="9" t="s">
        <v>306</v>
      </c>
      <c r="B85" s="9" t="s">
        <v>81</v>
      </c>
      <c r="C85" s="11">
        <v>13.2</v>
      </c>
    </row>
    <row r="86" spans="1:3" x14ac:dyDescent="0.25">
      <c r="A86" s="9" t="s">
        <v>307</v>
      </c>
      <c r="B86" s="9" t="s">
        <v>81</v>
      </c>
      <c r="C86" s="11">
        <v>3.2</v>
      </c>
    </row>
    <row r="87" spans="1:3" x14ac:dyDescent="0.25">
      <c r="A87" s="9" t="s">
        <v>308</v>
      </c>
      <c r="B87" s="9" t="s">
        <v>309</v>
      </c>
      <c r="C87" s="11">
        <v>0</v>
      </c>
    </row>
    <row r="88" spans="1:3" x14ac:dyDescent="0.25">
      <c r="A88" s="9" t="s">
        <v>310</v>
      </c>
      <c r="B88" s="9" t="s">
        <v>61</v>
      </c>
      <c r="C88" s="11">
        <v>0</v>
      </c>
    </row>
    <row r="89" spans="1:3" x14ac:dyDescent="0.25">
      <c r="A89" s="9" t="s">
        <v>311</v>
      </c>
      <c r="B89" s="9" t="s">
        <v>68</v>
      </c>
      <c r="C89" s="11">
        <v>0</v>
      </c>
    </row>
    <row r="90" spans="1:3" x14ac:dyDescent="0.25">
      <c r="A90" s="9" t="s">
        <v>312</v>
      </c>
      <c r="B90" s="9" t="s">
        <v>68</v>
      </c>
      <c r="C90" s="1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7347"/>
  </sheetPr>
  <dimension ref="A2:E13"/>
  <sheetViews>
    <sheetView showGridLines="0" workbookViewId="0"/>
  </sheetViews>
  <sheetFormatPr baseColWidth="10" defaultColWidth="9.140625" defaultRowHeight="15" x14ac:dyDescent="0.25"/>
  <cols>
    <col min="1" max="1" width="16" customWidth="1"/>
    <col min="2" max="2" width="22" customWidth="1"/>
    <col min="3" max="4" width="12" customWidth="1"/>
    <col min="5" max="5" width="14" customWidth="1"/>
  </cols>
  <sheetData>
    <row r="2" spans="1:5" ht="28.5" x14ac:dyDescent="0.45">
      <c r="B2" s="1" t="s">
        <v>313</v>
      </c>
    </row>
    <row r="3" spans="1:5" ht="15.75" x14ac:dyDescent="0.25">
      <c r="B3" s="3" t="s">
        <v>314</v>
      </c>
    </row>
    <row r="5" spans="1:5" x14ac:dyDescent="0.25">
      <c r="A5" s="7" t="s">
        <v>29</v>
      </c>
      <c r="B5" s="7" t="s">
        <v>315</v>
      </c>
      <c r="C5" s="7" t="s">
        <v>35</v>
      </c>
      <c r="D5" s="7" t="s">
        <v>316</v>
      </c>
      <c r="E5" s="7" t="s">
        <v>317</v>
      </c>
    </row>
    <row r="6" spans="1:5" x14ac:dyDescent="0.25">
      <c r="A6" s="32" t="s">
        <v>53</v>
      </c>
      <c r="B6" s="11">
        <f>SUMIFS('Serie municipal'!$H$2:$H$1132,'Serie municipal'!$C$2:$C$1132,$A6,'Serie municipal'!$G$2:$G$1132,"Deforestación")</f>
        <v>3147.14</v>
      </c>
      <c r="C6" s="11">
        <f t="shared" ref="C6:C11" si="0">B6/24</f>
        <v>131.13083333333333</v>
      </c>
      <c r="D6" s="33">
        <f>B6/SUM($B$6:$B$10)</f>
        <v>6.7181237394739121E-2</v>
      </c>
      <c r="E6" s="10">
        <f>COUNTIF(Aux!$B$4:$B$22,$A6)</f>
        <v>4</v>
      </c>
    </row>
    <row r="7" spans="1:5" x14ac:dyDescent="0.25">
      <c r="A7" s="32" t="s">
        <v>49</v>
      </c>
      <c r="B7" s="11">
        <f>SUMIFS('Serie municipal'!$H$2:$H$1132,'Serie municipal'!$C$2:$C$1132,$A7,'Serie municipal'!$G$2:$G$1132,"Deforestación")</f>
        <v>24437.58</v>
      </c>
      <c r="C7" s="11">
        <f t="shared" si="0"/>
        <v>1018.2325000000001</v>
      </c>
      <c r="D7" s="33">
        <f>B7/SUM($B$6:$B$10)</f>
        <v>0.52166311741229465</v>
      </c>
      <c r="E7" s="10">
        <f>COUNTIF(Aux!$B$4:$B$22,$A7)</f>
        <v>5</v>
      </c>
    </row>
    <row r="8" spans="1:5" x14ac:dyDescent="0.25">
      <c r="A8" s="32" t="s">
        <v>69</v>
      </c>
      <c r="B8" s="11">
        <f>SUMIFS('Serie municipal'!$H$2:$H$1132,'Serie municipal'!$C$2:$C$1132,$A8,'Serie municipal'!$G$2:$G$1132,"Deforestación")</f>
        <v>3369.3499999999995</v>
      </c>
      <c r="C8" s="11">
        <f t="shared" si="0"/>
        <v>140.38958333333332</v>
      </c>
      <c r="D8" s="33">
        <f>B8/SUM($B$6:$B$10)</f>
        <v>7.1924700590365931E-2</v>
      </c>
      <c r="E8" s="10">
        <f>COUNTIF(Aux!$B$4:$B$22,$A8)</f>
        <v>2</v>
      </c>
    </row>
    <row r="9" spans="1:5" x14ac:dyDescent="0.25">
      <c r="A9" s="32" t="s">
        <v>40</v>
      </c>
      <c r="B9" s="11">
        <f>SUMIFS('Serie municipal'!$H$2:$H$1132,'Serie municipal'!$C$2:$C$1132,$A9,'Serie municipal'!$G$2:$G$1132,"Deforestación")</f>
        <v>10132.009999999998</v>
      </c>
      <c r="C9" s="11">
        <f t="shared" si="0"/>
        <v>422.16708333333327</v>
      </c>
      <c r="D9" s="33">
        <f>B9/SUM($B$6:$B$10)</f>
        <v>0.21628557010360858</v>
      </c>
      <c r="E9" s="10">
        <f>COUNTIF(Aux!$B$4:$B$22,$A9)</f>
        <v>7</v>
      </c>
    </row>
    <row r="10" spans="1:5" x14ac:dyDescent="0.25">
      <c r="A10" s="32" t="s">
        <v>85</v>
      </c>
      <c r="B10" s="11">
        <f>SUMIFS('Serie municipal'!$H$2:$H$1132,'Serie municipal'!$C$2:$C$1132,$A10,'Serie municipal'!$G$2:$G$1132,"Deforestación")</f>
        <v>5759.44</v>
      </c>
      <c r="C10" s="11">
        <f t="shared" si="0"/>
        <v>239.97666666666666</v>
      </c>
      <c r="D10" s="33">
        <f>B10/SUM($B$6:$B$10)</f>
        <v>0.12294537449899157</v>
      </c>
      <c r="E10" s="10">
        <f>COUNTIF(Aux!$B$4:$B$22,$A10)</f>
        <v>1</v>
      </c>
    </row>
    <row r="11" spans="1:5" x14ac:dyDescent="0.25">
      <c r="A11" s="24" t="s">
        <v>126</v>
      </c>
      <c r="B11" s="34">
        <f>SUM(B6:B10)</f>
        <v>46845.520000000004</v>
      </c>
      <c r="C11" s="27">
        <f t="shared" si="0"/>
        <v>1951.8966666666668</v>
      </c>
    </row>
    <row r="13" spans="1:5" x14ac:dyDescent="0.25">
      <c r="A13" s="17" t="s">
        <v>318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4"/>
  <sheetViews>
    <sheetView workbookViewId="0"/>
  </sheetViews>
  <sheetFormatPr baseColWidth="10" defaultColWidth="9.140625" defaultRowHeight="15" x14ac:dyDescent="0.25"/>
  <cols>
    <col min="1" max="1" width="24" customWidth="1"/>
    <col min="2" max="2" width="100" customWidth="1"/>
  </cols>
  <sheetData>
    <row r="1" spans="1:2" ht="18.75" x14ac:dyDescent="0.3">
      <c r="A1" s="5" t="s">
        <v>319</v>
      </c>
    </row>
    <row r="2" spans="1:2" x14ac:dyDescent="0.25">
      <c r="A2" s="24"/>
      <c r="B2" s="35"/>
    </row>
    <row r="3" spans="1:2" ht="30" x14ac:dyDescent="0.25">
      <c r="A3" s="24" t="s">
        <v>320</v>
      </c>
      <c r="B3" s="35" t="s">
        <v>321</v>
      </c>
    </row>
    <row r="4" spans="1:2" ht="30" x14ac:dyDescent="0.25">
      <c r="A4" s="24" t="s">
        <v>322</v>
      </c>
      <c r="B4" s="35" t="s">
        <v>323</v>
      </c>
    </row>
    <row r="5" spans="1:2" ht="30" x14ac:dyDescent="0.25">
      <c r="A5" s="24" t="s">
        <v>324</v>
      </c>
      <c r="B5" s="35" t="s">
        <v>325</v>
      </c>
    </row>
    <row r="6" spans="1:2" x14ac:dyDescent="0.25">
      <c r="A6" s="24" t="s">
        <v>326</v>
      </c>
      <c r="B6" s="35" t="s">
        <v>327</v>
      </c>
    </row>
    <row r="7" spans="1:2" x14ac:dyDescent="0.25">
      <c r="A7" s="24" t="s">
        <v>154</v>
      </c>
      <c r="B7" s="35" t="s">
        <v>328</v>
      </c>
    </row>
    <row r="8" spans="1:2" ht="30" x14ac:dyDescent="0.25">
      <c r="A8" s="24" t="s">
        <v>105</v>
      </c>
      <c r="B8" s="35" t="s">
        <v>329</v>
      </c>
    </row>
    <row r="9" spans="1:2" x14ac:dyDescent="0.25">
      <c r="A9" s="24"/>
      <c r="B9" s="35"/>
    </row>
    <row r="10" spans="1:2" ht="45" x14ac:dyDescent="0.25">
      <c r="A10" s="24" t="s">
        <v>330</v>
      </c>
      <c r="B10" s="35" t="s">
        <v>331</v>
      </c>
    </row>
    <row r="11" spans="1:2" ht="45" x14ac:dyDescent="0.25">
      <c r="A11" s="24" t="s">
        <v>332</v>
      </c>
      <c r="B11" s="35" t="s">
        <v>333</v>
      </c>
    </row>
    <row r="12" spans="1:2" ht="30" x14ac:dyDescent="0.25">
      <c r="A12" s="24" t="s">
        <v>334</v>
      </c>
      <c r="B12" s="35" t="s">
        <v>335</v>
      </c>
    </row>
    <row r="13" spans="1:2" x14ac:dyDescent="0.25">
      <c r="A13" s="24"/>
      <c r="B13" s="35"/>
    </row>
    <row r="14" spans="1:2" ht="60" x14ac:dyDescent="0.25">
      <c r="A14" s="24" t="s">
        <v>336</v>
      </c>
      <c r="B14" s="35" t="s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Portada</vt:lpstr>
      <vt:lpstr>Serie municipal</vt:lpstr>
      <vt:lpstr>Dashboard</vt:lpstr>
      <vt:lpstr>Consulta municipio</vt:lpstr>
      <vt:lpstr>Matriz</vt:lpstr>
      <vt:lpstr>Serie regional</vt:lpstr>
      <vt:lpstr>Aux</vt:lpstr>
      <vt:lpstr>Dinámica bosque</vt:lpstr>
      <vt:lpstr>Hallazgos</vt:lpstr>
      <vt:lpstr>Territorios</vt:lpstr>
      <vt:lpstr>Territoriales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Daniel Gómez Zuluaga</cp:lastModifiedBy>
  <dcterms:created xsi:type="dcterms:W3CDTF">2026-07-05T21:58:09Z</dcterms:created>
  <dcterms:modified xsi:type="dcterms:W3CDTF">2026-07-05T21:58:27Z</dcterms:modified>
</cp:coreProperties>
</file>